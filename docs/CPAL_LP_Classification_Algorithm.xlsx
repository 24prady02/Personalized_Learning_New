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450" yWindow="550" windowWidth="24640" windowHeight="13240"/>
  </bookViews>
  <sheets>
    <sheet name="Overview" sheetId="1" r:id="rId1"/>
    <sheet name="Algorithm" sheetId="2" r:id="rId2"/>
    <sheet name="Graph Edges" sheetId="3" r:id="rId3"/>
    <sheet name="Ladder" sheetId="4" r:id="rId4"/>
    <sheet name="Evidence" sheetId="5" r:id="rId5"/>
    <sheet name="Gates" sheetId="6" r:id="rId6"/>
    <sheet name="Inference Rules" sheetId="7" r:id="rId7"/>
    <sheet name="Confidence" sheetId="8" r:id="rId8"/>
    <sheet name="Thresholds" sheetId="9" r:id="rId9"/>
  </sheets>
  <calcPr calcId="144525"/>
</workbook>
</file>

<file path=xl/calcChain.xml><?xml version="1.0" encoding="utf-8"?>
<calcChain xmlns="http://schemas.openxmlformats.org/spreadsheetml/2006/main">
  <c r="A8" i="8" l="1"/>
  <c r="C9" i="7"/>
  <c r="D35" i="6"/>
  <c r="D34" i="6"/>
  <c r="D33" i="6"/>
  <c r="D32" i="6"/>
  <c r="D31" i="6"/>
  <c r="D30" i="6"/>
  <c r="D28" i="6"/>
  <c r="D27" i="6"/>
  <c r="D26" i="6"/>
  <c r="G21" i="6"/>
  <c r="G18" i="6"/>
  <c r="G16" i="6"/>
  <c r="G11" i="6"/>
  <c r="G10" i="6"/>
  <c r="G8" i="6"/>
  <c r="G6" i="6"/>
  <c r="G4" i="6"/>
  <c r="G2" i="6"/>
  <c r="C9" i="5"/>
  <c r="C8" i="5"/>
  <c r="C4" i="5"/>
  <c r="C2" i="5"/>
  <c r="B8" i="3"/>
</calcChain>
</file>

<file path=xl/sharedStrings.xml><?xml version="1.0" encoding="utf-8"?>
<sst xmlns="http://schemas.openxmlformats.org/spreadsheetml/2006/main" count="564" uniqueCount="447">
  <si>
    <t>Item</t>
  </si>
  <si>
    <t>Detail</t>
  </si>
  <si>
    <t>Purpose</t>
  </si>
  <si>
    <t>For every student prompt: (1) classify the LP level of each concept the prompt is about on that concept's own L0-L4 ladder, (2) update the student's self-updating concept map. No reply is generated and no model is trained.</t>
  </si>
  <si>
    <t>Knowledge graph</t>
  </si>
  <si>
    <t>data/chapter1_concept_graph_percpt_lp.json: 7 chapters, 70 concepts, 90 misconceptions, 350 level nodes, 900 edges.</t>
  </si>
  <si>
    <t>Overlay</t>
  </si>
  <si>
    <t>data/chapter1_execution_facts.json: code cues, word cues and 151 execution facts for the 70 concepts (draft, for teacher review).</t>
  </si>
  <si>
    <t>Pretrained models (not trained here)</t>
  </si>
  <si>
    <t>Embedder sentence-transformers/all-MiniLM-L6-v2 (similarity); NLI cross-encoder/nli-deberta-v3-small (entailment / contradiction).</t>
  </si>
  <si>
    <t>Level scale</t>
  </si>
  <si>
    <t>The graph's ladder: L0 Reference / Prestructural (start node, no requirement), L1 Surface Recognition, L2 Local Execution Tracing, L3 Relational State Reasoning, L4 Integrated Transfer &amp; Debugging.</t>
  </si>
  <si>
    <t>Final level</t>
  </si>
  <si>
    <t>The lowest level allowed by the ladder walk and every gate. Each gate that fires records its reason on the concept node.</t>
  </si>
  <si>
    <t>Sheets</t>
  </si>
  <si>
    <t>Algorithm (13 steps in order) · Graph Edges (existing edges used) · Ladder (what each level node requires) · Evidence (E1-E4 and misconception tests) · Gates (22 gates in 6 layers) · Inference Rules (student graph) · Confidence · Thresholds (every number, edit here).</t>
  </si>
  <si>
    <t>How to edit</t>
  </si>
  <si>
    <t>Change numbers only on the Thresholds sheet (yellow cells). Gate and evidence descriptions pull those numbers by formula. Green rows on the Gates sheet are the gates added in this revision.</t>
  </si>
  <si>
    <t>As of</t>
  </si>
  <si>
    <t>2026-10-02</t>
  </si>
  <si>
    <t>Code</t>
  </si>
  <si>
    <t>src/lp_percpt/ (knowledge, identify, evidence, ladder, student_graph, engine, render, thresholds). Tests: tests/test_lp_percpt.py.</t>
  </si>
  <si>
    <t>Step</t>
  </si>
  <si>
    <t>Stage</t>
  </si>
  <si>
    <t>Name</t>
  </si>
  <si>
    <t>Input</t>
  </si>
  <si>
    <t>Logic</t>
  </si>
  <si>
    <t>Graph elements used</t>
  </si>
  <si>
    <t>Output</t>
  </si>
  <si>
    <t>Prompt gates</t>
  </si>
  <si>
    <t>Prompt text (+ code if any)</t>
  </si>
  <si>
    <t>Apply Layer 1 gates G1 Content and G2 Help-seeking before any matching.</t>
  </si>
  <si>
    <t>—</t>
  </si>
  <si>
    <t>Stop with L0 / no evidence, or continue</t>
  </si>
  <si>
    <t>Split into clauses</t>
  </si>
  <si>
    <t>Prompt text</t>
  </si>
  <si>
    <t>Split at sentence ends (. ! ? ;), new lines, and 'but' / 'however' / 'whereas' / 'although'.</t>
  </si>
  <si>
    <t>Clauses</t>
  </si>
  <si>
    <t>Concept linking</t>
  </si>
  <si>
    <t>Link prompt to concept nodes</t>
  </si>
  <si>
    <t>Clauses, code</t>
  </si>
  <si>
    <t>Score all 70 concepts (see Evidence sheet, Concept score). Keep concepts above the keep score and the relative cut, best first, up to the maximum. Gate G3 Off-topic if none.</t>
  </si>
  <si>
    <t>Concept nodes; misconception edges (wrong_belief)</t>
  </si>
  <si>
    <t>Linked concepts, each with its matched cue / fact / misconception</t>
  </si>
  <si>
    <t>Attribution</t>
  </si>
  <si>
    <t>Assign clauses to concepts</t>
  </si>
  <si>
    <t>Clauses, linked concepts</t>
  </si>
  <si>
    <t>Gate G4 Attribution: each clause gives evidence only to the concepts it names or matches. Gate G5 Weak link marks concepts found only by meaning or misconception match below the weak-link confidence.</t>
  </si>
  <si>
    <t>Concept nodes</t>
  </si>
  <si>
    <t>Clause set per concept</t>
  </si>
  <si>
    <t>Clause filters</t>
  </si>
  <si>
    <t>Drop non-evidence clauses</t>
  </si>
  <si>
    <t>Gates G6 Question, G7 Parroting, G8 Pasted code.</t>
  </si>
  <si>
    <t>Concept description and facts; quiz text shown</t>
  </si>
  <si>
    <t>Filtered clause set</t>
  </si>
  <si>
    <t>Evidence</t>
  </si>
  <si>
    <t>Detect E1-E4 and misconception status</t>
  </si>
  <si>
    <t>Filtered clauses</t>
  </si>
  <si>
    <t>Run each test on the Evidence sheet against the concept's graph statements.</t>
  </si>
  <si>
    <t>Concept node, execution facts, prerequisite / parallel edges, misconception edges, lp_indicator boundary lists</t>
  </si>
  <si>
    <t>E1-E4 = met / uncertain / not met; each misconception = held / refuted / absent</t>
  </si>
  <si>
    <t>Validity filters</t>
  </si>
  <si>
    <t>Drop incorrect evidence</t>
  </si>
  <si>
    <t>Gates G9 Wrong trace, G10 Wrong mechanism, G11 Jargon without mechanism, G12 Self-contradiction.</t>
  </si>
  <si>
    <t>Execution facts; edge direction</t>
  </si>
  <si>
    <t>Validated evidence</t>
  </si>
  <si>
    <t>Ladder walk</t>
  </si>
  <si>
    <t>Find the level node</t>
  </si>
  <si>
    <t>Validated evidence + evidence stored on the student graph</t>
  </si>
  <si>
    <t>Start at concept@L0. Follow next_level edges; step up while the next level node's requirements (Ladder sheet) are met. Not met: stop. Uncertain: Gate G15 Ambiguity.</t>
  </si>
  <si>
    <t>next_level edges; requires links of level nodes</t>
  </si>
  <si>
    <t>Walk level</t>
  </si>
  <si>
    <t>Caps</t>
  </si>
  <si>
    <t>Apply level caps</t>
  </si>
  <si>
    <t>Walk level, misconception status</t>
  </si>
  <si>
    <t>Gates G13 Boundary misconception, G14 Prerequisite, G12 Self-contradiction (one level down). Final level = lowest allowed.</t>
  </si>
  <si>
    <t>lp_indicator boundary misconceptions; prerequisite edges</t>
  </si>
  <si>
    <t>Prompt level per concept</t>
  </si>
  <si>
    <t>Stability</t>
  </si>
  <si>
    <t>Compare with the student graph</t>
  </si>
  <si>
    <t>Prompt level, stored node</t>
  </si>
  <si>
    <t>Gates G16 No silent drop, G17 Jump, G18 Repetition, G19 Inferred-only, G20 Staleness, G21 Teacher override.</t>
  </si>
  <si>
    <t>Student graph</t>
  </si>
  <si>
    <t>Node level (observed / provisional / pinned)</t>
  </si>
  <si>
    <t>Confidence</t>
  </si>
  <si>
    <t>Set confidence tier</t>
  </si>
  <si>
    <t>All flags</t>
  </si>
  <si>
    <t>See Confidence sheet. Gate G22 Hedge lowers one tier.</t>
  </si>
  <si>
    <t>High / medium / low</t>
  </si>
  <si>
    <t>Update graph</t>
  </si>
  <si>
    <t>Run inference rules to a fixpoint</t>
  </si>
  <si>
    <t>Node levels, misconception status</t>
  </si>
  <si>
    <t>Rules R1-R9 (Inference Rules sheet) run repeatedly until nothing changes.</t>
  </si>
  <si>
    <t>prerequisite, parallel, misconception edges</t>
  </si>
  <si>
    <t>Updated student graph</t>
  </si>
  <si>
    <t>Redraw map and log</t>
  </si>
  <si>
    <t>Redraw the concept map. Log meaning-only matches, unlinked prompts and wrong-mechanism clauses for link maintenance (cue / misconception proposals, approved by a person).</t>
  </si>
  <si>
    <t>Concept map; review log</t>
  </si>
  <si>
    <t>Edge type</t>
  </si>
  <si>
    <t>Count</t>
  </si>
  <si>
    <t>From → to</t>
  </si>
  <si>
    <t>Meaning</t>
  </si>
  <si>
    <t>Used in</t>
  </si>
  <si>
    <t>lp_indicator</t>
  </si>
  <si>
    <t>concept → its own level node (concept@L0 … @L4)</t>
  </si>
  <si>
    <t>Level descriptor for the concept; boundary misconceptions on L2/L3</t>
  </si>
  <si>
    <t>Ladder requirements; Gate G13</t>
  </si>
  <si>
    <t>next_level</t>
  </si>
  <si>
    <t>concept@Lk → concept@Lk+1</t>
  </si>
  <si>
    <t>Order of the ladder (Jin order relation)</t>
  </si>
  <si>
    <t>Step 8 Ladder walk</t>
  </si>
  <si>
    <t>misconception</t>
  </si>
  <si>
    <t>concept → misconception</t>
  </si>
  <si>
    <t>Half-learning that leads to a wrong rule; misconception carries wrong_belief</t>
  </si>
  <si>
    <t>Step 3, Step 6, Gate G13, Rule R7</t>
  </si>
  <si>
    <t>prerequisite</t>
  </si>
  <si>
    <t>concept → concept</t>
  </si>
  <si>
    <t>A before B</t>
  </si>
  <si>
    <t>E3, Gate G14, Rules R5 R6 R9</t>
  </si>
  <si>
    <t>parallel</t>
  </si>
  <si>
    <t>concept — concept</t>
  </si>
  <si>
    <t>Sibling constructs</t>
  </si>
  <si>
    <t>E3, E4, Rule R9</t>
  </si>
  <si>
    <t>chapter</t>
  </si>
  <si>
    <t>chapter → chapter</t>
  </si>
  <si>
    <t>Chapter order</t>
  </si>
  <si>
    <t>Map layout only</t>
  </si>
  <si>
    <t>Total</t>
  </si>
  <si>
    <t>Source: counts read from data/chapter1_concept_graph_percpt_lp.json (version 1.1+lp-percpt+progmiscon_by_chapter).</t>
  </si>
  <si>
    <t>Level node</t>
  </si>
  <si>
    <t>Graph name</t>
  </si>
  <si>
    <t>Requires (existing graph elements)</t>
  </si>
  <si>
    <t>Evidence check</t>
  </si>
  <si>
    <t>Blocked by</t>
  </si>
  <si>
    <t>concept@L0</t>
  </si>
  <si>
    <t>Reference / Prestructural</t>
  </si>
  <si>
    <t>Nothing: the start of every ladder</t>
  </si>
  <si>
    <t>concept@L1</t>
  </si>
  <si>
    <t>Surface Recognition</t>
  </si>
  <si>
    <t>The concept node: its cues or its description</t>
  </si>
  <si>
    <t>E1 Reference</t>
  </si>
  <si>
    <t>G5 Weak link keeps a weakly linked concept here</t>
  </si>
  <si>
    <t>concept@L2</t>
  </si>
  <si>
    <t>Local Execution Tracing</t>
  </si>
  <si>
    <t>The concept's execution facts, or a correct value trace</t>
  </si>
  <si>
    <t>E2 Execution</t>
  </si>
  <si>
    <t>G9 Wrong trace; G11 Jargon</t>
  </si>
  <si>
    <t>concept@L3</t>
  </si>
  <si>
    <t>Relational State Reasoning</t>
  </si>
  <si>
    <t>A causal link across a prerequisite or parallel edge, or the concept's overall purpose; AND no boundary misconception (lp_indicator) held</t>
  </si>
  <si>
    <t>E3 Integration</t>
  </si>
  <si>
    <t>G13 Boundary misconception; G10 Wrong mechanism</t>
  </si>
  <si>
    <t>concept@L4</t>
  </si>
  <si>
    <t>Integrated Transfer &amp; Debugging</t>
  </si>
  <si>
    <t>A boundary misconception refuted with the correct fact, or the mechanism applied to a parallel / leads-to concept or to new code</t>
  </si>
  <si>
    <t>E4 Transfer / debug</t>
  </si>
  <si>
    <t>G12 Self-contradiction</t>
  </si>
  <si>
    <t>Test</t>
  </si>
  <si>
    <t>Rule</t>
  </si>
  <si>
    <t>Graph elements</t>
  </si>
  <si>
    <t>Concept score</t>
  </si>
  <si>
    <t>Step 3</t>
  </si>
  <si>
    <t>Concept node, overlay cues and facts, misconception wrong_belief</t>
  </si>
  <si>
    <t>Step 6</t>
  </si>
  <si>
    <t>A clause matches a cue of the concept or its description (written by the student, not pasted).</t>
  </si>
  <si>
    <t>Concept node</t>
  </si>
  <si>
    <t>Execution facts</t>
  </si>
  <si>
    <t>E2 holds, and a clause joins this concept to a concept across a prerequisite or parallel edge with a causal word (because, so, since, until, therefore, which means, causes), or states what the code achieves as a whole (sums, counts, finds, so that, overall).</t>
  </si>
  <si>
    <t>prerequisite / parallel edges</t>
  </si>
  <si>
    <t>E3 holds, and either a boundary misconception is refuted while the correct fact is stated, or a transfer marker (if we change, instead of, to fix, in general, any / every) applies the mechanism to a parallel / leads-to concept or new code.</t>
  </si>
  <si>
    <t>misconception edges, parallel / leads-to edges</t>
  </si>
  <si>
    <t>Best-match principle</t>
  </si>
  <si>
    <t>A clause is judged against the graph statement it matches best. A misconception is held only if the clause matches its wrong_belief at least as well as any correct fact of the concept; a contradiction is a wrong trace only against the clause's best-matching fact.</t>
  </si>
  <si>
    <t>Execution facts, misconception edges</t>
  </si>
  <si>
    <t>Misconception held</t>
  </si>
  <si>
    <t>misconception edges</t>
  </si>
  <si>
    <t>Misconception refuted</t>
  </si>
  <si>
    <t>No evidence</t>
  </si>
  <si>
    <t>Step 9</t>
  </si>
  <si>
    <t>A linked concept with no E1-E4 evidence, no misconception status and no wrong trace in the prompt is reported as 'no evidence'; its node is not touched.</t>
  </si>
  <si>
    <t>Held and refuted together</t>
  </si>
  <si>
    <t>Treated as held; confidence low.</t>
  </si>
  <si>
    <t>Across prompts</t>
  </si>
  <si>
    <t>Step 10</t>
  </si>
  <si>
    <t>Latest observation wins. Held after refuted = regression; refuted after held = repair, counted as E4 evidence.</t>
  </si>
  <si>
    <t>ID</t>
  </si>
  <si>
    <t>Layer</t>
  </si>
  <si>
    <t>Layer name</t>
  </si>
  <si>
    <t>Gate</t>
  </si>
  <si>
    <t>Status</t>
  </si>
  <si>
    <t>Applies to</t>
  </si>
  <si>
    <t>Effect</t>
  </si>
  <si>
    <t>Reason code</t>
  </si>
  <si>
    <t>G1</t>
  </si>
  <si>
    <t>Content</t>
  </si>
  <si>
    <t>Existing</t>
  </si>
  <si>
    <t>Whole prompt</t>
  </si>
  <si>
    <t>Level L0, confidence low; skip all later gates</t>
  </si>
  <si>
    <t>content</t>
  </si>
  <si>
    <t>G2</t>
  </si>
  <si>
    <t>Help-seeking</t>
  </si>
  <si>
    <t>New</t>
  </si>
  <si>
    <t>Only asks for the answer (just tell me, what's the answer)</t>
  </si>
  <si>
    <t>No evidence; stored level unchanged</t>
  </si>
  <si>
    <t>help_seeking</t>
  </si>
  <si>
    <t>G3</t>
  </si>
  <si>
    <t>Off-topic / unlinked</t>
  </si>
  <si>
    <t>Nothing classified; prompt logged for cue review</t>
  </si>
  <si>
    <t>unlinked</t>
  </si>
  <si>
    <t>G4</t>
  </si>
  <si>
    <t>Each clause</t>
  </si>
  <si>
    <t>Clause links to several concepts</t>
  </si>
  <si>
    <t>Evidence goes only to the concepts the clause names or matches</t>
  </si>
  <si>
    <t>attribution</t>
  </si>
  <si>
    <t>G5</t>
  </si>
  <si>
    <t>Weak link</t>
  </si>
  <si>
    <t>Each concept</t>
  </si>
  <si>
    <t>Level capped at L1</t>
  </si>
  <si>
    <t>weak_link</t>
  </si>
  <si>
    <t>G6</t>
  </si>
  <si>
    <t>Question / symptom report</t>
  </si>
  <si>
    <t>A question (ends in ? or opens with why / how / what / does / is) with no hypothesis; or a report of an observed result (it says…, I get…, my loop / my code…) with no cause and no steps</t>
  </si>
  <si>
    <t>Clause keeps E1 only. A question with a hypothesis (is it because…) counts as a hedged statement</t>
  </si>
  <si>
    <t>question, symptom_report</t>
  </si>
  <si>
    <t>G7</t>
  </si>
  <si>
    <t>Parroting</t>
  </si>
  <si>
    <t>Clause evidence dropped; if the rest supports only E1, capped at L1</t>
  </si>
  <si>
    <t>parroting</t>
  </si>
  <si>
    <t>G8</t>
  </si>
  <si>
    <t>Pasted code</t>
  </si>
  <si>
    <t>Code in prompt</t>
  </si>
  <si>
    <t>Code identical to the quiz code</t>
  </si>
  <si>
    <t>Treated as parroting. Student-written code counts as E1, plus E2 if it runs correctly</t>
  </si>
  <si>
    <t>pasted_code</t>
  </si>
  <si>
    <t>G9</t>
  </si>
  <si>
    <t>Validity</t>
  </si>
  <si>
    <t>Wrong trace</t>
  </si>
  <si>
    <t>Each E2 clause</t>
  </si>
  <si>
    <t>Clause gives no E2-E4 and cannot refute a misconception; earlier E2+ evidence on the concept must be shown again</t>
  </si>
  <si>
    <t>wrong_trace</t>
  </si>
  <si>
    <t>G10</t>
  </si>
  <si>
    <t>Wrong mechanism</t>
  </si>
  <si>
    <t>Each E3 clause</t>
  </si>
  <si>
    <t>E3 dropped; logged as a candidate misconception</t>
  </si>
  <si>
    <t>wrong_mechanism</t>
  </si>
  <si>
    <t>G11</t>
  </si>
  <si>
    <t>Jargon without mechanism</t>
  </si>
  <si>
    <t>Technical terms (heap, reference, iteration) with no state change or cause linking them</t>
  </si>
  <si>
    <t>Terms count as E1 only, never E2 or E3</t>
  </si>
  <si>
    <t>jargon</t>
  </si>
  <si>
    <t>G12</t>
  </si>
  <si>
    <t>Self-contradiction</t>
  </si>
  <si>
    <t>Whole prompt, per concept</t>
  </si>
  <si>
    <t>A fact and its opposite, or a correct fact next to a wrong trace</t>
  </si>
  <si>
    <t>Mixed: one level below the walk level, confidence low</t>
  </si>
  <si>
    <t>self_contradiction</t>
  </si>
  <si>
    <t>G13</t>
  </si>
  <si>
    <t>Boundary misconception</t>
  </si>
  <si>
    <t>After ladder walk</t>
  </si>
  <si>
    <t>A boundary misconception on the concept's lp_indicator edge is held</t>
  </si>
  <si>
    <t>Capped at L2; records which misconception blocked L3</t>
  </si>
  <si>
    <t>boundary_misconception</t>
  </si>
  <si>
    <t>G14</t>
  </si>
  <si>
    <t>Prerequisite</t>
  </si>
  <si>
    <t>Reaching L3+</t>
  </si>
  <si>
    <t>A prerequisite concept has a held boundary misconception</t>
  </si>
  <si>
    <t>Level allowed; confidence down one tier; prerequisite edge flagged</t>
  </si>
  <si>
    <t>G15</t>
  </si>
  <si>
    <t>Ambiguity</t>
  </si>
  <si>
    <t>During ladder walk</t>
  </si>
  <si>
    <t>Stay at the lower level, marked uncertain toward the next</t>
  </si>
  <si>
    <t>ambiguity</t>
  </si>
  <si>
    <t>G16</t>
  </si>
  <si>
    <t>No silent drop</t>
  </si>
  <si>
    <t>Stored node</t>
  </si>
  <si>
    <t>Prompt shows less evidence than stored</t>
  </si>
  <si>
    <t>Stored level kept; only G9 or G13 can lower it</t>
  </si>
  <si>
    <t>no_silent_drop</t>
  </si>
  <si>
    <t>G17</t>
  </si>
  <si>
    <t>Jump</t>
  </si>
  <si>
    <t>New level provisional until a later prompt repeats the evidence</t>
  </si>
  <si>
    <t>jump</t>
  </si>
  <si>
    <t>G18</t>
  </si>
  <si>
    <t>Repetition</t>
  </si>
  <si>
    <t>Same evidence repeated word for word</t>
  </si>
  <si>
    <t>Not new evidence; does not reset or extend a plateau</t>
  </si>
  <si>
    <t>repetition</t>
  </si>
  <si>
    <t>G19</t>
  </si>
  <si>
    <t>Inferred-only</t>
  </si>
  <si>
    <t>Level came from inference (R5), not observation</t>
  </si>
  <si>
    <t>Never satisfies another concept's requirement and never triggers a gap</t>
  </si>
  <si>
    <t>inferred_only</t>
  </si>
  <si>
    <t>G20</t>
  </si>
  <si>
    <t>Staleness</t>
  </si>
  <si>
    <t>Level marked stale on the map, not lowered</t>
  </si>
  <si>
    <t>stale</t>
  </si>
  <si>
    <t>G21</t>
  </si>
  <si>
    <t>Override</t>
  </si>
  <si>
    <t>Teacher override</t>
  </si>
  <si>
    <t>A teacher sets or corrects a level</t>
  </si>
  <si>
    <t>Pinned; gates may raise it only with new evidence, never lower it silently</t>
  </si>
  <si>
    <t>teacher_override</t>
  </si>
  <si>
    <t>G22</t>
  </si>
  <si>
    <t>Hedge</t>
  </si>
  <si>
    <t>Evidence clauses</t>
  </si>
  <si>
    <t>I think, maybe, probably, not sure</t>
  </si>
  <si>
    <t>Confidence down one tier; level unchanged</t>
  </si>
  <si>
    <t>hedge</t>
  </si>
  <si>
    <t>Summary</t>
  </si>
  <si>
    <t>Total gates</t>
  </si>
  <si>
    <t>New in this revision</t>
  </si>
  <si>
    <t>Layer 1 gates</t>
  </si>
  <si>
    <t>Layer 2 gates</t>
  </si>
  <si>
    <t>Layer 3 gates</t>
  </si>
  <si>
    <t>Layer 4 gates</t>
  </si>
  <si>
    <t>Layer 5 gates</t>
  </si>
  <si>
    <t>Layer 6 gates</t>
  </si>
  <si>
    <t>Order rule: Layers 2-3 decide which evidence exists, the ladder walk uses only that evidence, then Layer 4 caps apply. Final level = lowest level any gate allows.</t>
  </si>
  <si>
    <t>If</t>
  </si>
  <si>
    <t>Then</t>
  </si>
  <si>
    <t>R1</t>
  </si>
  <si>
    <t>Accumulate</t>
  </si>
  <si>
    <t>A prompt satisfied a requirement</t>
  </si>
  <si>
    <t>Add a demonstrates link (prompt → requirement); evidence is kept across prompts</t>
  </si>
  <si>
    <t>R2</t>
  </si>
  <si>
    <t>Position</t>
  </si>
  <si>
    <t>Evidence on a concept changed</t>
  </si>
  <si>
    <t>Re-walk its ladder from concept@L0 and move the reached link</t>
  </si>
  <si>
    <t>R3</t>
  </si>
  <si>
    <t>Misconception cap</t>
  </si>
  <si>
    <t>A boundary misconception is held</t>
  </si>
  <si>
    <t>reached stays at or below concept@L2</t>
  </si>
  <si>
    <t>R4</t>
  </si>
  <si>
    <t>Repair</t>
  </si>
  <si>
    <t>A held misconception is later refuted</t>
  </si>
  <si>
    <t>Remove the cap; record the repair as E4 evidence</t>
  </si>
  <si>
    <t>R5</t>
  </si>
  <si>
    <t>Prerequisite inference</t>
  </si>
  <si>
    <t>A concept is reached at L2 or higher</t>
  </si>
  <si>
    <t>Each unassessed prerequisite is set to L1, marked inferred; never overrides an observed level</t>
  </si>
  <si>
    <t>R6</t>
  </si>
  <si>
    <t>Gap</t>
  </si>
  <si>
    <t>An observed prerequisite level is lower than the level of the concept it feeds</t>
  </si>
  <si>
    <t>Flag the prerequisite edge as a gap</t>
  </si>
  <si>
    <t>R7</t>
  </si>
  <si>
    <t>At risk</t>
  </si>
  <si>
    <t>A held misconception has misconception edges to several concepts</t>
  </si>
  <si>
    <t>Flag all of those concepts as at risk</t>
  </si>
  <si>
    <t>R8</t>
  </si>
  <si>
    <t>Plateau</t>
  </si>
  <si>
    <t>Mark the concept as on a plateau</t>
  </si>
  <si>
    <t>R9</t>
  </si>
  <si>
    <t>Frontier</t>
  </si>
  <si>
    <t>A concept is engaged</t>
  </si>
  <si>
    <t>Add its prerequisite / parallel neighbours to the map as unassessed</t>
  </si>
  <si>
    <t>Run</t>
  </si>
  <si>
    <t>Fixpoint</t>
  </si>
  <si>
    <t>After every prompt</t>
  </si>
  <si>
    <t>Apply R1-R9 repeatedly until no link changes</t>
  </si>
  <si>
    <t>Condition</t>
  </si>
  <si>
    <t>Start</t>
  </si>
  <si>
    <t>High</t>
  </si>
  <si>
    <t>Ambiguous step (G15)</t>
  </si>
  <si>
    <t>Down one tier</t>
  </si>
  <si>
    <t>Hedge (G22)</t>
  </si>
  <si>
    <t>Prerequisite with a held boundary misconception (G14)</t>
  </si>
  <si>
    <t>Low</t>
  </si>
  <si>
    <t>Self-contradiction (G12) or Content gate (G1)</t>
  </si>
  <si>
    <t>Floor</t>
  </si>
  <si>
    <t>Key</t>
  </si>
  <si>
    <t>Parameter</t>
  </si>
  <si>
    <t>Value</t>
  </si>
  <si>
    <t>Note</t>
  </si>
  <si>
    <t>min_words</t>
  </si>
  <si>
    <t>Minimum meaningful words in a prompt</t>
  </si>
  <si>
    <t>Gate G1 Content</t>
  </si>
  <si>
    <t>Stopwords and filler removed before counting</t>
  </si>
  <si>
    <t>w_code</t>
  </si>
  <si>
    <t>Weight per code-cue hit</t>
  </si>
  <si>
    <t>Step 3 Concept linking</t>
  </si>
  <si>
    <t>At most 2 code hits counted</t>
  </si>
  <si>
    <t>w_word</t>
  </si>
  <si>
    <t>Weight per word-cue point</t>
  </si>
  <si>
    <t>At most 3 word cues counted; a multi-word phrase cue counts 2 points</t>
  </si>
  <si>
    <t>w_sem</t>
  </si>
  <si>
    <t>Weight of meaning match above floor</t>
  </si>
  <si>
    <t>Starting value; calibrate against teacher-labelled prompts</t>
  </si>
  <si>
    <t>sem_floor</t>
  </si>
  <si>
    <t>Meaning-match floor (cosine)</t>
  </si>
  <si>
    <t>w_mis</t>
  </si>
  <si>
    <t>Weight of misconception match above floor</t>
  </si>
  <si>
    <t>mis_floor</t>
  </si>
  <si>
    <t>Misconception-match floor (cosine)</t>
  </si>
  <si>
    <t>keep</t>
  </si>
  <si>
    <t>Minimum concept score to keep</t>
  </si>
  <si>
    <t>Step 3 / Gate G3</t>
  </si>
  <si>
    <t>Below this for every concept = no concept identified</t>
  </si>
  <si>
    <t>rel_keep</t>
  </si>
  <si>
    <t>Keep concepts scoring at least this share of the best</t>
  </si>
  <si>
    <t>max_c</t>
  </si>
  <si>
    <t>Maximum concepts per prompt</t>
  </si>
  <si>
    <t>weak</t>
  </si>
  <si>
    <t>Weak-link confidence</t>
  </si>
  <si>
    <t>Gate G5 Weak link</t>
  </si>
  <si>
    <t>Concept confidence = min(1, score / 3)</t>
  </si>
  <si>
    <t>parrot</t>
  </si>
  <si>
    <t>Parroting similarity</t>
  </si>
  <si>
    <t>Gate G7 Parroting</t>
  </si>
  <si>
    <t>Against text the student was shown only (quiz question, code, options)</t>
  </si>
  <si>
    <t>fact_ent</t>
  </si>
  <si>
    <t>Fact match: NLI entailment</t>
  </si>
  <si>
    <t>Step 6 E2</t>
  </si>
  <si>
    <t>fact_sim</t>
  </si>
  <si>
    <t>Fact match: similarity (with contradiction below the next row)</t>
  </si>
  <si>
    <t>fact_contra_max</t>
  </si>
  <si>
    <t>Fact match: maximum contradiction</t>
  </si>
  <si>
    <t>band_lo</t>
  </si>
  <si>
    <t>Ambiguity band lower edge (similarity)</t>
  </si>
  <si>
    <t>Gate G15 Ambiguity</t>
  </si>
  <si>
    <t>Between this and the fact-match similarity = uncertain</t>
  </si>
  <si>
    <t>contra</t>
  </si>
  <si>
    <t>Contradiction cut-off (NLI)</t>
  </si>
  <si>
    <t>Gates G9, G10; misconception refuted</t>
  </si>
  <si>
    <t>held_ent</t>
  </si>
  <si>
    <t>Misconception held: NLI entailment</t>
  </si>
  <si>
    <t>Step 6 misconception status</t>
  </si>
  <si>
    <t>held_sim</t>
  </si>
  <si>
    <t>Misconception held: minimum similarity</t>
  </si>
  <si>
    <t>And at least the clause's best fact similarity (best-match principle)</t>
  </si>
  <si>
    <t>held_strong</t>
  </si>
  <si>
    <t>Misconception held on similarity alone</t>
  </si>
  <si>
    <t>Only with contradiction below 0.3 and no negation</t>
  </si>
  <si>
    <t>ref_sim</t>
  </si>
  <si>
    <t>Misconception refuted: minimum similarity</t>
  </si>
  <si>
    <t>Together with the contradiction cut-off</t>
  </si>
  <si>
    <t>Level jump that makes a result provisional</t>
  </si>
  <si>
    <t>Gate G17 Jump</t>
  </si>
  <si>
    <t>Levels gained in one prompt</t>
  </si>
  <si>
    <t>plateau</t>
  </si>
  <si>
    <t>Prompts at the same level for a plateau</t>
  </si>
  <si>
    <t>Rule R8 Plateau</t>
  </si>
  <si>
    <t>Sessions before evidence is stale</t>
  </si>
  <si>
    <t>Gate G20 Staleness</t>
  </si>
  <si>
    <t>Assumption; no data yet</t>
  </si>
  <si>
    <t>id_conf</t>
  </si>
  <si>
    <t>Identification confidence below which confidence drops</t>
  </si>
  <si>
    <t>Step 11 Confidence</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</si>
</sst>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0"/>
      <color rgb="FFFFFFFF"/>
      <name val="Arial"/>
    </font>
    <font>
      <sz val="10"/>
      <name val="Arial"/>
    </font>
    <font>
      <b/>
      <sz val="10"/>
      <name val="Arial"/>
    </font>
    <font>
      <i/>
      <sz val="9"/>
      <name val="Arial"/>
    </font>
    <font>
      <sz val="10"/>
      <color rgb="FF0000FF"/>
      <name val="Arial"/>
    </font>
  </fonts>
  <fills count="5">
    <fill>
      <patternFill patternType="none"/>
    </fill>
    <fill>
      <patternFill patternType="gray125"/>
    </fill>
    <fill>
      <patternFill patternType="solid">
        <fgColor rgb="FF1F3864"/>
      </patternFill>
    </fill>
    <fill>
      <patternFill patternType="solid">
        <fgColor rgb="FFE2EFDA"/>
      </patternFill>
    </fill>
    <fill>
      <patternFill patternType="solid">
        <fgColor rgb="FFFFFF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8">
    <xf numFmtId="0" fontId="0" fillId="0" borderId="0" xfId="0"/>
    <xf numFmtId="0" fontId="1" fillId="2" borderId="1" xfId="0" applyFont="1" applyFill="1" applyBorder="1" applyAlignment="1">
      <alignment vertical="center" wrapText="1"/>
    </xf>
    <xf numFmtId="0" fontId="2" fillId="0" borderId="1" xfId="0" applyFont="1" applyBorder="1" applyAlignment="1">
      <alignment vertical="top" wrapText="1"/>
    </xf>
    <xf numFmtId="0" fontId="3" fillId="0" borderId="0" xfId="0" applyFont="1"/>
    <xf numFmtId="0" fontId="4" fillId="0" borderId="0" xfId="0" applyFont="1"/>
    <xf numFmtId="0" fontId="2" fillId="3" borderId="1" xfId="0" applyFont="1" applyFill="1" applyBorder="1" applyAlignment="1">
      <alignment vertical="top" wrapText="1"/>
    </xf>
    <xf numFmtId="0" fontId="2" fillId="0" borderId="0" xfId="0" applyFont="1"/>
    <xf numFmtId="0" fontId="5" fillId="4"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tabSelected="1" workbookViewId="0">
      <pane ySplit="1" topLeftCell="A2" activePane="bottomLeft" state="frozen"/>
      <selection pane="bottomLeft"/>
    </sheetView>
  </sheetViews>
  <sheetFormatPr defaultRowHeight="14.5" x14ac:dyDescent="0.35"/>
  <cols>
    <col min="1" max="1" width="26" customWidth="1"/>
    <col min="2" max="2" width="110" customWidth="1"/>
  </cols>
  <sheetData>
    <row r="1" spans="1:2" x14ac:dyDescent="0.35">
      <c r="A1" s="1" t="s">
        <v>0</v>
      </c>
      <c r="B1" s="1" t="s">
        <v>1</v>
      </c>
    </row>
    <row r="2" spans="1:2" ht="25" x14ac:dyDescent="0.35">
      <c r="A2" s="2" t="s">
        <v>2</v>
      </c>
      <c r="B2" s="2" t="s">
        <v>3</v>
      </c>
    </row>
    <row r="3" spans="1:2" x14ac:dyDescent="0.35">
      <c r="A3" s="2" t="s">
        <v>4</v>
      </c>
      <c r="B3" s="2" t="s">
        <v>5</v>
      </c>
    </row>
    <row r="4" spans="1:2" x14ac:dyDescent="0.35">
      <c r="A4" s="2" t="s">
        <v>6</v>
      </c>
      <c r="B4" s="2" t="s">
        <v>7</v>
      </c>
    </row>
    <row r="5" spans="1:2" ht="25" x14ac:dyDescent="0.35">
      <c r="A5" s="2" t="s">
        <v>8</v>
      </c>
      <c r="B5" s="2" t="s">
        <v>9</v>
      </c>
    </row>
    <row r="6" spans="1:2" ht="25" x14ac:dyDescent="0.35">
      <c r="A6" s="2" t="s">
        <v>10</v>
      </c>
      <c r="B6" s="2" t="s">
        <v>11</v>
      </c>
    </row>
    <row r="7" spans="1:2" x14ac:dyDescent="0.35">
      <c r="A7" s="2" t="s">
        <v>12</v>
      </c>
      <c r="B7" s="2" t="s">
        <v>13</v>
      </c>
    </row>
    <row r="8" spans="1:2" ht="37.5" x14ac:dyDescent="0.35">
      <c r="A8" s="2" t="s">
        <v>14</v>
      </c>
      <c r="B8" s="2" t="s">
        <v>15</v>
      </c>
    </row>
    <row r="9" spans="1:2" ht="25" x14ac:dyDescent="0.35">
      <c r="A9" s="2" t="s">
        <v>16</v>
      </c>
      <c r="B9" s="2" t="s">
        <v>17</v>
      </c>
    </row>
    <row r="10" spans="1:2" x14ac:dyDescent="0.35">
      <c r="A10" s="2" t="s">
        <v>18</v>
      </c>
      <c r="B10" s="2" t="s">
        <v>19</v>
      </c>
    </row>
    <row r="11" spans="1:2" x14ac:dyDescent="0.35">
      <c r="A11" s="2" t="s">
        <v>20</v>
      </c>
      <c r="B11" s="2" t="s">
        <v>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workbookViewId="0">
      <pane ySplit="1" topLeftCell="A2" activePane="bottomLeft" state="frozen"/>
      <selection pane="bottomLeft"/>
    </sheetView>
  </sheetViews>
  <sheetFormatPr defaultRowHeight="14.5" x14ac:dyDescent="0.35"/>
  <cols>
    <col min="1" max="1" width="7" customWidth="1"/>
    <col min="2" max="2" width="16" customWidth="1"/>
    <col min="3" max="4" width="26" customWidth="1"/>
    <col min="5" max="5" width="70" customWidth="1"/>
    <col min="6" max="6" width="36" customWidth="1"/>
    <col min="7" max="7" width="32" customWidth="1"/>
  </cols>
  <sheetData>
    <row r="1" spans="1:7" x14ac:dyDescent="0.35">
      <c r="A1" s="1" t="s">
        <v>22</v>
      </c>
      <c r="B1" s="1" t="s">
        <v>23</v>
      </c>
      <c r="C1" s="1" t="s">
        <v>24</v>
      </c>
      <c r="D1" s="1" t="s">
        <v>25</v>
      </c>
      <c r="E1" s="1" t="s">
        <v>26</v>
      </c>
      <c r="F1" s="1" t="s">
        <v>27</v>
      </c>
      <c r="G1" s="1" t="s">
        <v>28</v>
      </c>
    </row>
    <row r="2" spans="1:7" ht="25" x14ac:dyDescent="0.35">
      <c r="A2" s="2">
        <v>1</v>
      </c>
      <c r="B2" s="2" t="s">
        <v>25</v>
      </c>
      <c r="C2" s="2" t="s">
        <v>29</v>
      </c>
      <c r="D2" s="2" t="s">
        <v>30</v>
      </c>
      <c r="E2" s="2" t="s">
        <v>31</v>
      </c>
      <c r="F2" s="2" t="s">
        <v>32</v>
      </c>
      <c r="G2" s="2" t="s">
        <v>33</v>
      </c>
    </row>
    <row r="3" spans="1:7" x14ac:dyDescent="0.35">
      <c r="A3" s="2">
        <v>2</v>
      </c>
      <c r="B3" s="2" t="s">
        <v>25</v>
      </c>
      <c r="C3" s="2" t="s">
        <v>34</v>
      </c>
      <c r="D3" s="2" t="s">
        <v>35</v>
      </c>
      <c r="E3" s="2" t="s">
        <v>36</v>
      </c>
      <c r="F3" s="2" t="s">
        <v>32</v>
      </c>
      <c r="G3" s="2" t="s">
        <v>37</v>
      </c>
    </row>
    <row r="4" spans="1:7" ht="37.5" x14ac:dyDescent="0.35">
      <c r="A4" s="2">
        <v>3</v>
      </c>
      <c r="B4" s="2" t="s">
        <v>38</v>
      </c>
      <c r="C4" s="2" t="s">
        <v>39</v>
      </c>
      <c r="D4" s="2" t="s">
        <v>40</v>
      </c>
      <c r="E4" s="2" t="s">
        <v>41</v>
      </c>
      <c r="F4" s="2" t="s">
        <v>42</v>
      </c>
      <c r="G4" s="2" t="s">
        <v>43</v>
      </c>
    </row>
    <row r="5" spans="1:7" ht="37.5" x14ac:dyDescent="0.35">
      <c r="A5" s="2">
        <v>4</v>
      </c>
      <c r="B5" s="2" t="s">
        <v>44</v>
      </c>
      <c r="C5" s="2" t="s">
        <v>45</v>
      </c>
      <c r="D5" s="2" t="s">
        <v>46</v>
      </c>
      <c r="E5" s="2" t="s">
        <v>47</v>
      </c>
      <c r="F5" s="2" t="s">
        <v>48</v>
      </c>
      <c r="G5" s="2" t="s">
        <v>49</v>
      </c>
    </row>
    <row r="6" spans="1:7" ht="25" x14ac:dyDescent="0.35">
      <c r="A6" s="2">
        <v>5</v>
      </c>
      <c r="B6" s="2" t="s">
        <v>50</v>
      </c>
      <c r="C6" s="2" t="s">
        <v>51</v>
      </c>
      <c r="D6" s="2" t="s">
        <v>49</v>
      </c>
      <c r="E6" s="2" t="s">
        <v>52</v>
      </c>
      <c r="F6" s="2" t="s">
        <v>53</v>
      </c>
      <c r="G6" s="2" t="s">
        <v>54</v>
      </c>
    </row>
    <row r="7" spans="1:7" ht="37.5" x14ac:dyDescent="0.35">
      <c r="A7" s="2">
        <v>6</v>
      </c>
      <c r="B7" s="2" t="s">
        <v>55</v>
      </c>
      <c r="C7" s="2" t="s">
        <v>56</v>
      </c>
      <c r="D7" s="2" t="s">
        <v>57</v>
      </c>
      <c r="E7" s="2" t="s">
        <v>58</v>
      </c>
      <c r="F7" s="2" t="s">
        <v>59</v>
      </c>
      <c r="G7" s="2" t="s">
        <v>60</v>
      </c>
    </row>
    <row r="8" spans="1:7" ht="25" x14ac:dyDescent="0.35">
      <c r="A8" s="2">
        <v>7</v>
      </c>
      <c r="B8" s="2" t="s">
        <v>61</v>
      </c>
      <c r="C8" s="2" t="s">
        <v>62</v>
      </c>
      <c r="D8" s="2" t="s">
        <v>55</v>
      </c>
      <c r="E8" s="2" t="s">
        <v>63</v>
      </c>
      <c r="F8" s="2" t="s">
        <v>64</v>
      </c>
      <c r="G8" s="2" t="s">
        <v>65</v>
      </c>
    </row>
    <row r="9" spans="1:7" ht="25" x14ac:dyDescent="0.35">
      <c r="A9" s="2">
        <v>8</v>
      </c>
      <c r="B9" s="2" t="s">
        <v>66</v>
      </c>
      <c r="C9" s="2" t="s">
        <v>67</v>
      </c>
      <c r="D9" s="2" t="s">
        <v>68</v>
      </c>
      <c r="E9" s="2" t="s">
        <v>69</v>
      </c>
      <c r="F9" s="2" t="s">
        <v>70</v>
      </c>
      <c r="G9" s="2" t="s">
        <v>71</v>
      </c>
    </row>
    <row r="10" spans="1:7" ht="25" x14ac:dyDescent="0.35">
      <c r="A10" s="2">
        <v>9</v>
      </c>
      <c r="B10" s="2" t="s">
        <v>72</v>
      </c>
      <c r="C10" s="2" t="s">
        <v>73</v>
      </c>
      <c r="D10" s="2" t="s">
        <v>74</v>
      </c>
      <c r="E10" s="2" t="s">
        <v>75</v>
      </c>
      <c r="F10" s="2" t="s">
        <v>76</v>
      </c>
      <c r="G10" s="2" t="s">
        <v>77</v>
      </c>
    </row>
    <row r="11" spans="1:7" ht="25" x14ac:dyDescent="0.35">
      <c r="A11" s="2">
        <v>10</v>
      </c>
      <c r="B11" s="2" t="s">
        <v>78</v>
      </c>
      <c r="C11" s="2" t="s">
        <v>79</v>
      </c>
      <c r="D11" s="2" t="s">
        <v>80</v>
      </c>
      <c r="E11" s="2" t="s">
        <v>81</v>
      </c>
      <c r="F11" s="2" t="s">
        <v>82</v>
      </c>
      <c r="G11" s="2" t="s">
        <v>83</v>
      </c>
    </row>
    <row r="12" spans="1:7" x14ac:dyDescent="0.35">
      <c r="A12" s="2">
        <v>11</v>
      </c>
      <c r="B12" s="2" t="s">
        <v>84</v>
      </c>
      <c r="C12" s="2" t="s">
        <v>85</v>
      </c>
      <c r="D12" s="2" t="s">
        <v>86</v>
      </c>
      <c r="E12" s="2" t="s">
        <v>87</v>
      </c>
      <c r="F12" s="2" t="s">
        <v>32</v>
      </c>
      <c r="G12" s="2" t="s">
        <v>88</v>
      </c>
    </row>
    <row r="13" spans="1:7" ht="25" x14ac:dyDescent="0.35">
      <c r="A13" s="2">
        <v>12</v>
      </c>
      <c r="B13" s="2" t="s">
        <v>89</v>
      </c>
      <c r="C13" s="2" t="s">
        <v>90</v>
      </c>
      <c r="D13" s="2" t="s">
        <v>91</v>
      </c>
      <c r="E13" s="2" t="s">
        <v>92</v>
      </c>
      <c r="F13" s="2" t="s">
        <v>93</v>
      </c>
      <c r="G13" s="2" t="s">
        <v>94</v>
      </c>
    </row>
    <row r="14" spans="1:7" ht="37.5" x14ac:dyDescent="0.35">
      <c r="A14" s="2">
        <v>13</v>
      </c>
      <c r="B14" s="2" t="s">
        <v>28</v>
      </c>
      <c r="C14" s="2" t="s">
        <v>95</v>
      </c>
      <c r="D14" s="2" t="s">
        <v>82</v>
      </c>
      <c r="E14" s="2" t="s">
        <v>96</v>
      </c>
      <c r="F14" s="2" t="s">
        <v>32</v>
      </c>
      <c r="G14" s="2" t="s">
        <v>97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Views>
    <sheetView workbookViewId="0">
      <pane ySplit="1" topLeftCell="A2" activePane="bottomLeft" state="frozen"/>
      <selection pane="bottomLeft"/>
    </sheetView>
  </sheetViews>
  <sheetFormatPr defaultRowHeight="14.5" x14ac:dyDescent="0.35"/>
  <cols>
    <col min="1" max="1" width="16" customWidth="1"/>
    <col min="2" max="2" width="9" customWidth="1"/>
    <col min="3" max="3" width="40" customWidth="1"/>
    <col min="4" max="4" width="52" customWidth="1"/>
    <col min="5" max="5" width="34" customWidth="1"/>
  </cols>
  <sheetData>
    <row r="1" spans="1:5" x14ac:dyDescent="0.35">
      <c r="A1" s="1" t="s">
        <v>98</v>
      </c>
      <c r="B1" s="1" t="s">
        <v>99</v>
      </c>
      <c r="C1" s="1" t="s">
        <v>100</v>
      </c>
      <c r="D1" s="1" t="s">
        <v>101</v>
      </c>
      <c r="E1" s="1" t="s">
        <v>102</v>
      </c>
    </row>
    <row r="2" spans="1:5" ht="25" x14ac:dyDescent="0.35">
      <c r="A2" s="2" t="s">
        <v>103</v>
      </c>
      <c r="B2" s="2">
        <v>350</v>
      </c>
      <c r="C2" s="2" t="s">
        <v>104</v>
      </c>
      <c r="D2" s="2" t="s">
        <v>105</v>
      </c>
      <c r="E2" s="2" t="s">
        <v>106</v>
      </c>
    </row>
    <row r="3" spans="1:5" x14ac:dyDescent="0.35">
      <c r="A3" s="2" t="s">
        <v>107</v>
      </c>
      <c r="B3" s="2">
        <v>280</v>
      </c>
      <c r="C3" s="2" t="s">
        <v>108</v>
      </c>
      <c r="D3" s="2" t="s">
        <v>109</v>
      </c>
      <c r="E3" s="2" t="s">
        <v>110</v>
      </c>
    </row>
    <row r="4" spans="1:5" ht="25" x14ac:dyDescent="0.35">
      <c r="A4" s="2" t="s">
        <v>111</v>
      </c>
      <c r="B4" s="2">
        <v>177</v>
      </c>
      <c r="C4" s="2" t="s">
        <v>112</v>
      </c>
      <c r="D4" s="2" t="s">
        <v>113</v>
      </c>
      <c r="E4" s="2" t="s">
        <v>114</v>
      </c>
    </row>
    <row r="5" spans="1:5" x14ac:dyDescent="0.35">
      <c r="A5" s="2" t="s">
        <v>115</v>
      </c>
      <c r="B5" s="2">
        <v>67</v>
      </c>
      <c r="C5" s="2" t="s">
        <v>116</v>
      </c>
      <c r="D5" s="2" t="s">
        <v>117</v>
      </c>
      <c r="E5" s="2" t="s">
        <v>118</v>
      </c>
    </row>
    <row r="6" spans="1:5" x14ac:dyDescent="0.35">
      <c r="A6" s="2" t="s">
        <v>119</v>
      </c>
      <c r="B6" s="2">
        <v>18</v>
      </c>
      <c r="C6" s="2" t="s">
        <v>120</v>
      </c>
      <c r="D6" s="2" t="s">
        <v>121</v>
      </c>
      <c r="E6" s="2" t="s">
        <v>122</v>
      </c>
    </row>
    <row r="7" spans="1:5" x14ac:dyDescent="0.35">
      <c r="A7" s="2" t="s">
        <v>123</v>
      </c>
      <c r="B7" s="2">
        <v>8</v>
      </c>
      <c r="C7" s="2" t="s">
        <v>124</v>
      </c>
      <c r="D7" s="2" t="s">
        <v>125</v>
      </c>
      <c r="E7" s="2" t="s">
        <v>126</v>
      </c>
    </row>
    <row r="8" spans="1:5" x14ac:dyDescent="0.35">
      <c r="A8" s="3" t="s">
        <v>127</v>
      </c>
      <c r="B8" s="3">
        <f>SUM(B2:B7)</f>
        <v>900</v>
      </c>
    </row>
    <row r="9" spans="1:5" x14ac:dyDescent="0.35">
      <c r="A9" s="4" t="s">
        <v>128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pane ySplit="1" topLeftCell="A2" activePane="bottomLeft" state="frozen"/>
      <selection pane="bottomLeft"/>
    </sheetView>
  </sheetViews>
  <sheetFormatPr defaultRowHeight="14.5" x14ac:dyDescent="0.35"/>
  <cols>
    <col min="1" max="1" width="12" customWidth="1"/>
    <col min="2" max="2" width="30" customWidth="1"/>
    <col min="3" max="3" width="62" customWidth="1"/>
    <col min="4" max="4" width="18" customWidth="1"/>
    <col min="5" max="5" width="40" customWidth="1"/>
  </cols>
  <sheetData>
    <row r="1" spans="1:5" x14ac:dyDescent="0.35">
      <c r="A1" s="1" t="s">
        <v>129</v>
      </c>
      <c r="B1" s="1" t="s">
        <v>130</v>
      </c>
      <c r="C1" s="1" t="s">
        <v>131</v>
      </c>
      <c r="D1" s="1" t="s">
        <v>132</v>
      </c>
      <c r="E1" s="1" t="s">
        <v>133</v>
      </c>
    </row>
    <row r="2" spans="1:5" x14ac:dyDescent="0.35">
      <c r="A2" s="2" t="s">
        <v>134</v>
      </c>
      <c r="B2" s="2" t="s">
        <v>135</v>
      </c>
      <c r="C2" s="2" t="s">
        <v>136</v>
      </c>
      <c r="D2" s="2" t="s">
        <v>32</v>
      </c>
      <c r="E2" s="2" t="s">
        <v>32</v>
      </c>
    </row>
    <row r="3" spans="1:5" ht="25" x14ac:dyDescent="0.35">
      <c r="A3" s="2" t="s">
        <v>137</v>
      </c>
      <c r="B3" s="2" t="s">
        <v>138</v>
      </c>
      <c r="C3" s="2" t="s">
        <v>139</v>
      </c>
      <c r="D3" s="2" t="s">
        <v>140</v>
      </c>
      <c r="E3" s="2" t="s">
        <v>141</v>
      </c>
    </row>
    <row r="4" spans="1:5" x14ac:dyDescent="0.35">
      <c r="A4" s="2" t="s">
        <v>142</v>
      </c>
      <c r="B4" s="2" t="s">
        <v>143</v>
      </c>
      <c r="C4" s="2" t="s">
        <v>144</v>
      </c>
      <c r="D4" s="2" t="s">
        <v>145</v>
      </c>
      <c r="E4" s="2" t="s">
        <v>146</v>
      </c>
    </row>
    <row r="5" spans="1:5" ht="25" x14ac:dyDescent="0.35">
      <c r="A5" s="2" t="s">
        <v>147</v>
      </c>
      <c r="B5" s="2" t="s">
        <v>148</v>
      </c>
      <c r="C5" s="2" t="s">
        <v>149</v>
      </c>
      <c r="D5" s="2" t="s">
        <v>150</v>
      </c>
      <c r="E5" s="2" t="s">
        <v>151</v>
      </c>
    </row>
    <row r="6" spans="1:5" ht="25" x14ac:dyDescent="0.35">
      <c r="A6" s="2" t="s">
        <v>152</v>
      </c>
      <c r="B6" s="2" t="s">
        <v>153</v>
      </c>
      <c r="C6" s="2" t="s">
        <v>154</v>
      </c>
      <c r="D6" s="2" t="s">
        <v>155</v>
      </c>
      <c r="E6" s="2" t="s">
        <v>156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workbookViewId="0">
      <pane ySplit="1" topLeftCell="A2" activePane="bottomLeft" state="frozen"/>
      <selection pane="bottomLeft"/>
    </sheetView>
  </sheetViews>
  <sheetFormatPr defaultRowHeight="14.5" x14ac:dyDescent="0.35"/>
  <cols>
    <col min="1" max="1" width="24" customWidth="1"/>
    <col min="2" max="2" width="9" customWidth="1"/>
    <col min="3" max="3" width="100" customWidth="1"/>
    <col min="4" max="4" width="34" customWidth="1"/>
  </cols>
  <sheetData>
    <row r="1" spans="1:4" x14ac:dyDescent="0.35">
      <c r="A1" s="1" t="s">
        <v>157</v>
      </c>
      <c r="B1" s="1" t="s">
        <v>22</v>
      </c>
      <c r="C1" s="1" t="s">
        <v>158</v>
      </c>
      <c r="D1" s="1" t="s">
        <v>159</v>
      </c>
    </row>
    <row r="2" spans="1:4" ht="25" x14ac:dyDescent="0.35">
      <c r="A2" s="2" t="s">
        <v>160</v>
      </c>
      <c r="B2" s="2" t="s">
        <v>161</v>
      </c>
      <c r="C2" s="2" t="str">
        <f>"score = "&amp;Thresholds!$C$3&amp;" × code hits (max 2) + "&amp;Thresholds!$C$4&amp;" × word-cue points (max 3 cues; a multi-word phrase = 2) + "&amp;Thresholds!$C$5&amp;" × max(0, meaning similarity − "&amp;Thresholds!$C$6&amp;") + "&amp;Thresholds!$C$7&amp;" × max(0, misconception similarity − "&amp;Thresholds!$C$8&amp;"). Keep if score ≥ "&amp;Thresholds!$C$9&amp;" and ≥ "&amp;Thresholds!$C$10&amp;" × best score; at most "&amp;Thresholds!$C$11&amp;" concepts."</f>
        <v>score = 2 × code hits (max 2) + 1 × word-cue points (max 3 cues; a multi-word phrase = 2) + 4 × max(0, meaning similarity − 0.4) + 3 × max(0, misconception similarity − 0.5). Keep if score ≥ 1 and ≥ 0.5 × best score; at most 3 concepts.</v>
      </c>
      <c r="D2" s="2" t="s">
        <v>162</v>
      </c>
    </row>
    <row r="3" spans="1:4" x14ac:dyDescent="0.35">
      <c r="A3" s="2" t="s">
        <v>140</v>
      </c>
      <c r="B3" s="2" t="s">
        <v>163</v>
      </c>
      <c r="C3" s="2" t="s">
        <v>164</v>
      </c>
      <c r="D3" s="2" t="s">
        <v>165</v>
      </c>
    </row>
    <row r="4" spans="1:4" x14ac:dyDescent="0.35">
      <c r="A4" s="2" t="s">
        <v>145</v>
      </c>
      <c r="B4" s="2" t="s">
        <v>163</v>
      </c>
      <c r="C4" s="2" t="str">
        <f>"A clause matches an execution fact: NLI entailment ≥ "&amp;Thresholds!$C$14&amp;", or similarity ≥ "&amp;Thresholds!$C$15&amp;" with contradiction &lt; "&amp;Thresholds!$C$16&amp;". Or a correct value trace: at least two value bindings, or one binding with a step marker (first / then / next / each pass)."</f>
        <v>A clause matches an execution fact: NLI entailment ≥ 0.5, or similarity ≥ 0.6 with contradiction &lt; 0.3. Or a correct value trace: at least two value bindings, or one binding with a step marker (first / then / next / each pass).</v>
      </c>
      <c r="D4" s="2" t="s">
        <v>166</v>
      </c>
    </row>
    <row r="5" spans="1:4" ht="37.5" x14ac:dyDescent="0.35">
      <c r="A5" s="2" t="s">
        <v>150</v>
      </c>
      <c r="B5" s="2" t="s">
        <v>163</v>
      </c>
      <c r="C5" s="2" t="s">
        <v>167</v>
      </c>
      <c r="D5" s="2" t="s">
        <v>168</v>
      </c>
    </row>
    <row r="6" spans="1:4" ht="25" x14ac:dyDescent="0.35">
      <c r="A6" s="2" t="s">
        <v>155</v>
      </c>
      <c r="B6" s="2" t="s">
        <v>163</v>
      </c>
      <c r="C6" s="2" t="s">
        <v>169</v>
      </c>
      <c r="D6" s="2" t="s">
        <v>170</v>
      </c>
    </row>
    <row r="7" spans="1:4" ht="37.5" x14ac:dyDescent="0.35">
      <c r="A7" s="2" t="s">
        <v>171</v>
      </c>
      <c r="B7" s="2" t="s">
        <v>163</v>
      </c>
      <c r="C7" s="2" t="s">
        <v>172</v>
      </c>
      <c r="D7" s="2" t="s">
        <v>173</v>
      </c>
    </row>
    <row r="8" spans="1:4" x14ac:dyDescent="0.35">
      <c r="A8" s="2" t="s">
        <v>174</v>
      </c>
      <c r="B8" s="2" t="s">
        <v>163</v>
      </c>
      <c r="C8" s="2" t="str">
        <f>"Similarity ≥ "&amp;Thresholds!$C$20&amp;" and ≥ the clause's best fact similarity, and either NLI entailment ≥ "&amp;Thresholds!$C$19&amp;" (above the clause's best fact entailment) or similarity ≥ "&amp;Thresholds!$C$21&amp;" with contradiction &lt; 0.3 and no negation."</f>
        <v>Similarity ≥ 0.62 and ≥ the clause's best fact similarity, and either NLI entailment ≥ 0.5 (above the clause's best fact entailment) or similarity ≥ 0.75 with contradiction &lt; 0.3 and no negation.</v>
      </c>
      <c r="D8" s="2" t="s">
        <v>175</v>
      </c>
    </row>
    <row r="9" spans="1:4" x14ac:dyDescent="0.35">
      <c r="A9" s="2" t="s">
        <v>176</v>
      </c>
      <c r="B9" s="2" t="s">
        <v>163</v>
      </c>
      <c r="C9" s="2" t="str">
        <f>"The clause is not a wrong trace, and either contradicts the wrong_belief (NLI ≥ "&amp;Thresholds!$C$18&amp;") with similarity ≥ "&amp;Thresholds!$C$22&amp;" while entailing a correct fact, or matches it closely but is negated (not, never, doesn't)."</f>
        <v>The clause is not a wrong trace, and either contradicts the wrong_belief (NLI ≥ 0.6) with similarity ≥ 0.5 while entailing a correct fact, or matches it closely but is negated (not, never, doesn't).</v>
      </c>
      <c r="D9" s="2" t="s">
        <v>175</v>
      </c>
    </row>
    <row r="10" spans="1:4" ht="25" x14ac:dyDescent="0.35">
      <c r="A10" s="2" t="s">
        <v>177</v>
      </c>
      <c r="B10" s="2" t="s">
        <v>178</v>
      </c>
      <c r="C10" s="2" t="s">
        <v>179</v>
      </c>
      <c r="D10" s="2" t="s">
        <v>82</v>
      </c>
    </row>
    <row r="11" spans="1:4" x14ac:dyDescent="0.35">
      <c r="A11" s="2" t="s">
        <v>180</v>
      </c>
      <c r="B11" s="2" t="s">
        <v>163</v>
      </c>
      <c r="C11" s="2" t="s">
        <v>181</v>
      </c>
      <c r="D11" s="2" t="s">
        <v>32</v>
      </c>
    </row>
    <row r="12" spans="1:4" x14ac:dyDescent="0.35">
      <c r="A12" s="2" t="s">
        <v>182</v>
      </c>
      <c r="B12" s="2" t="s">
        <v>183</v>
      </c>
      <c r="C12" s="2" t="s">
        <v>184</v>
      </c>
      <c r="D12" s="2" t="s">
        <v>82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
  <sheetViews>
    <sheetView workbookViewId="0">
      <pane ySplit="1" topLeftCell="A2" activePane="bottomLeft" state="frozen"/>
      <selection pane="bottomLeft"/>
    </sheetView>
  </sheetViews>
  <sheetFormatPr defaultRowHeight="14.5" x14ac:dyDescent="0.35"/>
  <cols>
    <col min="1" max="1" width="6" customWidth="1"/>
    <col min="2" max="2" width="7" customWidth="1"/>
    <col min="3" max="3" width="13" customWidth="1"/>
    <col min="4" max="4" width="22" customWidth="1"/>
    <col min="5" max="5" width="10" customWidth="1"/>
    <col min="6" max="6" width="18" customWidth="1"/>
    <col min="7" max="7" width="52" customWidth="1"/>
    <col min="8" max="8" width="50" customWidth="1"/>
    <col min="9" max="9" width="20" customWidth="1"/>
  </cols>
  <sheetData>
    <row r="1" spans="1:9" x14ac:dyDescent="0.35">
      <c r="A1" s="1" t="s">
        <v>185</v>
      </c>
      <c r="B1" s="1" t="s">
        <v>186</v>
      </c>
      <c r="C1" s="1" t="s">
        <v>187</v>
      </c>
      <c r="D1" s="1" t="s">
        <v>188</v>
      </c>
      <c r="E1" s="1" t="s">
        <v>189</v>
      </c>
      <c r="F1" s="1" t="s">
        <v>190</v>
      </c>
      <c r="G1" s="1" t="s">
        <v>157</v>
      </c>
      <c r="H1" s="1" t="s">
        <v>191</v>
      </c>
      <c r="I1" s="1" t="s">
        <v>192</v>
      </c>
    </row>
    <row r="2" spans="1:9" x14ac:dyDescent="0.35">
      <c r="A2" s="2" t="s">
        <v>193</v>
      </c>
      <c r="B2" s="2">
        <v>1</v>
      </c>
      <c r="C2" s="2" t="s">
        <v>25</v>
      </c>
      <c r="D2" s="2" t="s">
        <v>194</v>
      </c>
      <c r="E2" s="2" t="s">
        <v>195</v>
      </c>
      <c r="F2" s="2" t="s">
        <v>196</v>
      </c>
      <c r="G2" s="2" t="str">
        <f>"Fewer than "&amp;Thresholds!$C$2&amp;" meaningful words, or only filler (idk, no idea)"</f>
        <v>Fewer than 3 meaningful words, or only filler (idk, no idea)</v>
      </c>
      <c r="H2" s="2" t="s">
        <v>197</v>
      </c>
      <c r="I2" s="2" t="s">
        <v>198</v>
      </c>
    </row>
    <row r="3" spans="1:9" x14ac:dyDescent="0.35">
      <c r="A3" s="5" t="s">
        <v>199</v>
      </c>
      <c r="B3" s="5">
        <v>1</v>
      </c>
      <c r="C3" s="5" t="s">
        <v>25</v>
      </c>
      <c r="D3" s="5" t="s">
        <v>200</v>
      </c>
      <c r="E3" s="5" t="s">
        <v>201</v>
      </c>
      <c r="F3" s="5" t="s">
        <v>196</v>
      </c>
      <c r="G3" s="5" t="s">
        <v>202</v>
      </c>
      <c r="H3" s="5" t="s">
        <v>203</v>
      </c>
      <c r="I3" s="5" t="s">
        <v>204</v>
      </c>
    </row>
    <row r="4" spans="1:9" x14ac:dyDescent="0.35">
      <c r="A4" s="5" t="s">
        <v>205</v>
      </c>
      <c r="B4" s="5">
        <v>1</v>
      </c>
      <c r="C4" s="5" t="s">
        <v>25</v>
      </c>
      <c r="D4" s="5" t="s">
        <v>206</v>
      </c>
      <c r="E4" s="5" t="s">
        <v>201</v>
      </c>
      <c r="F4" s="5" t="s">
        <v>196</v>
      </c>
      <c r="G4" s="5" t="str">
        <f>"No concept scores ≥ "&amp;Thresholds!$C$9</f>
        <v>No concept scores ≥ 1</v>
      </c>
      <c r="H4" s="5" t="s">
        <v>207</v>
      </c>
      <c r="I4" s="5" t="s">
        <v>208</v>
      </c>
    </row>
    <row r="5" spans="1:9" ht="25" x14ac:dyDescent="0.35">
      <c r="A5" s="5" t="s">
        <v>209</v>
      </c>
      <c r="B5" s="5">
        <v>2</v>
      </c>
      <c r="C5" s="5" t="s">
        <v>44</v>
      </c>
      <c r="D5" s="5" t="s">
        <v>44</v>
      </c>
      <c r="E5" s="5" t="s">
        <v>201</v>
      </c>
      <c r="F5" s="5" t="s">
        <v>210</v>
      </c>
      <c r="G5" s="5" t="s">
        <v>211</v>
      </c>
      <c r="H5" s="5" t="s">
        <v>212</v>
      </c>
      <c r="I5" s="5" t="s">
        <v>213</v>
      </c>
    </row>
    <row r="6" spans="1:9" x14ac:dyDescent="0.35">
      <c r="A6" s="5" t="s">
        <v>214</v>
      </c>
      <c r="B6" s="5">
        <v>2</v>
      </c>
      <c r="C6" s="5" t="s">
        <v>44</v>
      </c>
      <c r="D6" s="5" t="s">
        <v>215</v>
      </c>
      <c r="E6" s="5" t="s">
        <v>201</v>
      </c>
      <c r="F6" s="5" t="s">
        <v>216</v>
      </c>
      <c r="G6" s="5" t="str">
        <f>"Concept found only by meaning or misconception match with confidence &lt; "&amp;Thresholds!$C$12</f>
        <v>Concept found only by meaning or misconception match with confidence &lt; 0.5</v>
      </c>
      <c r="H6" s="5" t="s">
        <v>217</v>
      </c>
      <c r="I6" s="5" t="s">
        <v>218</v>
      </c>
    </row>
    <row r="7" spans="1:9" ht="50" x14ac:dyDescent="0.35">
      <c r="A7" s="2" t="s">
        <v>219</v>
      </c>
      <c r="B7" s="2">
        <v>2</v>
      </c>
      <c r="C7" s="2" t="s">
        <v>44</v>
      </c>
      <c r="D7" s="2" t="s">
        <v>220</v>
      </c>
      <c r="E7" s="2" t="s">
        <v>195</v>
      </c>
      <c r="F7" s="2" t="s">
        <v>210</v>
      </c>
      <c r="G7" s="2" t="s">
        <v>221</v>
      </c>
      <c r="H7" s="2" t="s">
        <v>222</v>
      </c>
      <c r="I7" s="2" t="s">
        <v>223</v>
      </c>
    </row>
    <row r="8" spans="1:9" ht="25" x14ac:dyDescent="0.35">
      <c r="A8" s="2" t="s">
        <v>224</v>
      </c>
      <c r="B8" s="2">
        <v>2</v>
      </c>
      <c r="C8" s="2" t="s">
        <v>44</v>
      </c>
      <c r="D8" s="2" t="s">
        <v>225</v>
      </c>
      <c r="E8" s="2" t="s">
        <v>195</v>
      </c>
      <c r="F8" s="2" t="s">
        <v>210</v>
      </c>
      <c r="G8" s="2" t="str">
        <f>"Similarity ≥ "&amp;Thresholds!$C$13&amp;" to text the student was shown (quiz question, code, options)"</f>
        <v>Similarity ≥ 0.85 to text the student was shown (quiz question, code, options)</v>
      </c>
      <c r="H8" s="2" t="s">
        <v>226</v>
      </c>
      <c r="I8" s="2" t="s">
        <v>227</v>
      </c>
    </row>
    <row r="9" spans="1:9" ht="25" x14ac:dyDescent="0.35">
      <c r="A9" s="5" t="s">
        <v>228</v>
      </c>
      <c r="B9" s="5">
        <v>2</v>
      </c>
      <c r="C9" s="5" t="s">
        <v>44</v>
      </c>
      <c r="D9" s="5" t="s">
        <v>229</v>
      </c>
      <c r="E9" s="5" t="s">
        <v>201</v>
      </c>
      <c r="F9" s="5" t="s">
        <v>230</v>
      </c>
      <c r="G9" s="5" t="s">
        <v>231</v>
      </c>
      <c r="H9" s="5" t="s">
        <v>232</v>
      </c>
      <c r="I9" s="5" t="s">
        <v>233</v>
      </c>
    </row>
    <row r="10" spans="1:9" ht="25" x14ac:dyDescent="0.35">
      <c r="A10" s="2" t="s">
        <v>234</v>
      </c>
      <c r="B10" s="2">
        <v>3</v>
      </c>
      <c r="C10" s="2" t="s">
        <v>235</v>
      </c>
      <c r="D10" s="2" t="s">
        <v>236</v>
      </c>
      <c r="E10" s="2" t="s">
        <v>195</v>
      </c>
      <c r="F10" s="2" t="s">
        <v>237</v>
      </c>
      <c r="G10" s="2" t="str">
        <f>"The clause contradicts its best-matching execution fact (NLI ≥ "&amp;Thresholds!$C$18&amp;"); checked before anything else in the clause. Running the quiz code is not implemented yet"</f>
        <v>The clause contradicts its best-matching execution fact (NLI ≥ 0.6); checked before anything else in the clause. Running the quiz code is not implemented yet</v>
      </c>
      <c r="H10" s="2" t="s">
        <v>238</v>
      </c>
      <c r="I10" s="2" t="s">
        <v>239</v>
      </c>
    </row>
    <row r="11" spans="1:9" x14ac:dyDescent="0.35">
      <c r="A11" s="5" t="s">
        <v>240</v>
      </c>
      <c r="B11" s="5">
        <v>3</v>
      </c>
      <c r="C11" s="5" t="s">
        <v>235</v>
      </c>
      <c r="D11" s="5" t="s">
        <v>241</v>
      </c>
      <c r="E11" s="5" t="s">
        <v>201</v>
      </c>
      <c r="F11" s="5" t="s">
        <v>242</v>
      </c>
      <c r="G11" s="5" t="str">
        <f>"A causal clause (because, so…) that is a wrong trace (NLI ≥ "&amp;Thresholds!$C$18&amp;"). Edge-direction errors are not detected yet"</f>
        <v>A causal clause (because, so…) that is a wrong trace (NLI ≥ 0.6). Edge-direction errors are not detected yet</v>
      </c>
      <c r="H11" s="5" t="s">
        <v>243</v>
      </c>
      <c r="I11" s="5" t="s">
        <v>244</v>
      </c>
    </row>
    <row r="12" spans="1:9" ht="25" x14ac:dyDescent="0.35">
      <c r="A12" s="5" t="s">
        <v>245</v>
      </c>
      <c r="B12" s="5">
        <v>3</v>
      </c>
      <c r="C12" s="5" t="s">
        <v>235</v>
      </c>
      <c r="D12" s="5" t="s">
        <v>246</v>
      </c>
      <c r="E12" s="5" t="s">
        <v>201</v>
      </c>
      <c r="F12" s="5" t="s">
        <v>210</v>
      </c>
      <c r="G12" s="5" t="s">
        <v>247</v>
      </c>
      <c r="H12" s="5" t="s">
        <v>248</v>
      </c>
      <c r="I12" s="5" t="s">
        <v>249</v>
      </c>
    </row>
    <row r="13" spans="1:9" ht="25" x14ac:dyDescent="0.35">
      <c r="A13" s="5" t="s">
        <v>250</v>
      </c>
      <c r="B13" s="5">
        <v>3</v>
      </c>
      <c r="C13" s="5" t="s">
        <v>235</v>
      </c>
      <c r="D13" s="5" t="s">
        <v>251</v>
      </c>
      <c r="E13" s="5" t="s">
        <v>201</v>
      </c>
      <c r="F13" s="5" t="s">
        <v>252</v>
      </c>
      <c r="G13" s="5" t="s">
        <v>253</v>
      </c>
      <c r="H13" s="5" t="s">
        <v>254</v>
      </c>
      <c r="I13" s="5" t="s">
        <v>255</v>
      </c>
    </row>
    <row r="14" spans="1:9" ht="25" x14ac:dyDescent="0.35">
      <c r="A14" s="2" t="s">
        <v>256</v>
      </c>
      <c r="B14" s="2">
        <v>4</v>
      </c>
      <c r="C14" s="2" t="s">
        <v>72</v>
      </c>
      <c r="D14" s="2" t="s">
        <v>257</v>
      </c>
      <c r="E14" s="2" t="s">
        <v>195</v>
      </c>
      <c r="F14" s="2" t="s">
        <v>258</v>
      </c>
      <c r="G14" s="2" t="s">
        <v>259</v>
      </c>
      <c r="H14" s="2" t="s">
        <v>260</v>
      </c>
      <c r="I14" s="2" t="s">
        <v>261</v>
      </c>
    </row>
    <row r="15" spans="1:9" ht="25" x14ac:dyDescent="0.35">
      <c r="A15" s="5" t="s">
        <v>262</v>
      </c>
      <c r="B15" s="5">
        <v>4</v>
      </c>
      <c r="C15" s="5" t="s">
        <v>72</v>
      </c>
      <c r="D15" s="5" t="s">
        <v>263</v>
      </c>
      <c r="E15" s="5" t="s">
        <v>201</v>
      </c>
      <c r="F15" s="5" t="s">
        <v>264</v>
      </c>
      <c r="G15" s="5" t="s">
        <v>265</v>
      </c>
      <c r="H15" s="5" t="s">
        <v>266</v>
      </c>
      <c r="I15" s="5" t="s">
        <v>115</v>
      </c>
    </row>
    <row r="16" spans="1:9" x14ac:dyDescent="0.35">
      <c r="A16" s="2" t="s">
        <v>267</v>
      </c>
      <c r="B16" s="2">
        <v>4</v>
      </c>
      <c r="C16" s="2" t="s">
        <v>72</v>
      </c>
      <c r="D16" s="2" t="s">
        <v>268</v>
      </c>
      <c r="E16" s="2" t="s">
        <v>195</v>
      </c>
      <c r="F16" s="2" t="s">
        <v>269</v>
      </c>
      <c r="G16" s="2" t="str">
        <f>"The deciding requirement scores in the band (similarity "&amp;Thresholds!$C$17&amp;" to "&amp;Thresholds!$C$15&amp;")"</f>
        <v>The deciding requirement scores in the band (similarity 0.45 to 0.6)</v>
      </c>
      <c r="H16" s="2" t="s">
        <v>270</v>
      </c>
      <c r="I16" s="2" t="s">
        <v>271</v>
      </c>
    </row>
    <row r="17" spans="1:9" x14ac:dyDescent="0.35">
      <c r="A17" s="2" t="s">
        <v>272</v>
      </c>
      <c r="B17" s="2">
        <v>5</v>
      </c>
      <c r="C17" s="2" t="s">
        <v>78</v>
      </c>
      <c r="D17" s="2" t="s">
        <v>273</v>
      </c>
      <c r="E17" s="2" t="s">
        <v>195</v>
      </c>
      <c r="F17" s="2" t="s">
        <v>274</v>
      </c>
      <c r="G17" s="2" t="s">
        <v>275</v>
      </c>
      <c r="H17" s="2" t="s">
        <v>276</v>
      </c>
      <c r="I17" s="2" t="s">
        <v>277</v>
      </c>
    </row>
    <row r="18" spans="1:9" ht="25" x14ac:dyDescent="0.35">
      <c r="A18" s="5" t="s">
        <v>278</v>
      </c>
      <c r="B18" s="5">
        <v>5</v>
      </c>
      <c r="C18" s="5" t="s">
        <v>78</v>
      </c>
      <c r="D18" s="5" t="s">
        <v>279</v>
      </c>
      <c r="E18" s="5" t="s">
        <v>201</v>
      </c>
      <c r="F18" s="5" t="s">
        <v>274</v>
      </c>
      <c r="G18" s="5" t="str">
        <f>"Level rises by "&amp;Thresholds!$C$23&amp;" or more in one prompt"</f>
        <v>Level rises by 2 or more in one prompt</v>
      </c>
      <c r="H18" s="5" t="s">
        <v>280</v>
      </c>
      <c r="I18" s="5" t="s">
        <v>281</v>
      </c>
    </row>
    <row r="19" spans="1:9" x14ac:dyDescent="0.35">
      <c r="A19" s="5" t="s">
        <v>282</v>
      </c>
      <c r="B19" s="5">
        <v>5</v>
      </c>
      <c r="C19" s="5" t="s">
        <v>78</v>
      </c>
      <c r="D19" s="5" t="s">
        <v>283</v>
      </c>
      <c r="E19" s="5" t="s">
        <v>201</v>
      </c>
      <c r="F19" s="5" t="s">
        <v>274</v>
      </c>
      <c r="G19" s="5" t="s">
        <v>284</v>
      </c>
      <c r="H19" s="5" t="s">
        <v>285</v>
      </c>
      <c r="I19" s="5" t="s">
        <v>286</v>
      </c>
    </row>
    <row r="20" spans="1:9" ht="25" x14ac:dyDescent="0.35">
      <c r="A20" s="5" t="s">
        <v>287</v>
      </c>
      <c r="B20" s="5">
        <v>5</v>
      </c>
      <c r="C20" s="5" t="s">
        <v>78</v>
      </c>
      <c r="D20" s="5" t="s">
        <v>288</v>
      </c>
      <c r="E20" s="5" t="s">
        <v>201</v>
      </c>
      <c r="F20" s="5" t="s">
        <v>274</v>
      </c>
      <c r="G20" s="5" t="s">
        <v>289</v>
      </c>
      <c r="H20" s="5" t="s">
        <v>290</v>
      </c>
      <c r="I20" s="5" t="s">
        <v>291</v>
      </c>
    </row>
    <row r="21" spans="1:9" x14ac:dyDescent="0.35">
      <c r="A21" s="5" t="s">
        <v>292</v>
      </c>
      <c r="B21" s="5">
        <v>5</v>
      </c>
      <c r="C21" s="5" t="s">
        <v>78</v>
      </c>
      <c r="D21" s="5" t="s">
        <v>293</v>
      </c>
      <c r="E21" s="5" t="s">
        <v>201</v>
      </c>
      <c r="F21" s="5" t="s">
        <v>274</v>
      </c>
      <c r="G21" s="5" t="str">
        <f>"Newest evidence for the level is more than "&amp;Thresholds!$C$25&amp;" sessions old"</f>
        <v>Newest evidence for the level is more than 3 sessions old</v>
      </c>
      <c r="H21" s="5" t="s">
        <v>294</v>
      </c>
      <c r="I21" s="5" t="s">
        <v>295</v>
      </c>
    </row>
    <row r="22" spans="1:9" ht="25" x14ac:dyDescent="0.35">
      <c r="A22" s="5" t="s">
        <v>296</v>
      </c>
      <c r="B22" s="5">
        <v>6</v>
      </c>
      <c r="C22" s="5" t="s">
        <v>297</v>
      </c>
      <c r="D22" s="5" t="s">
        <v>298</v>
      </c>
      <c r="E22" s="5" t="s">
        <v>201</v>
      </c>
      <c r="F22" s="5" t="s">
        <v>274</v>
      </c>
      <c r="G22" s="5" t="s">
        <v>299</v>
      </c>
      <c r="H22" s="5" t="s">
        <v>300</v>
      </c>
      <c r="I22" s="5" t="s">
        <v>301</v>
      </c>
    </row>
    <row r="23" spans="1:9" x14ac:dyDescent="0.35">
      <c r="A23" s="2" t="s">
        <v>302</v>
      </c>
      <c r="B23" s="2">
        <v>6</v>
      </c>
      <c r="C23" s="2" t="s">
        <v>84</v>
      </c>
      <c r="D23" s="2" t="s">
        <v>303</v>
      </c>
      <c r="E23" s="2" t="s">
        <v>195</v>
      </c>
      <c r="F23" s="2" t="s">
        <v>304</v>
      </c>
      <c r="G23" s="2" t="s">
        <v>305</v>
      </c>
      <c r="H23" s="2" t="s">
        <v>306</v>
      </c>
      <c r="I23" s="2" t="s">
        <v>307</v>
      </c>
    </row>
    <row r="25" spans="1:9" x14ac:dyDescent="0.35">
      <c r="A25" s="3" t="s">
        <v>308</v>
      </c>
    </row>
    <row r="26" spans="1:9" x14ac:dyDescent="0.35">
      <c r="A26" s="6" t="s">
        <v>309</v>
      </c>
      <c r="D26" s="6">
        <f>COUNTA(A2:A23)</f>
        <v>22</v>
      </c>
    </row>
    <row r="27" spans="1:9" x14ac:dyDescent="0.35">
      <c r="A27" s="6" t="s">
        <v>310</v>
      </c>
      <c r="D27" s="6">
        <f>COUNTIF(E2:E23,"New")</f>
        <v>14</v>
      </c>
    </row>
    <row r="28" spans="1:9" x14ac:dyDescent="0.35">
      <c r="A28" s="6" t="s">
        <v>195</v>
      </c>
      <c r="D28" s="6">
        <f>COUNTIF(E2:E23,"Existing")</f>
        <v>8</v>
      </c>
    </row>
    <row r="30" spans="1:9" x14ac:dyDescent="0.35">
      <c r="A30" s="6" t="s">
        <v>311</v>
      </c>
      <c r="D30" s="6">
        <f>COUNTIF(B2:B23,1)</f>
        <v>3</v>
      </c>
    </row>
    <row r="31" spans="1:9" x14ac:dyDescent="0.35">
      <c r="A31" s="6" t="s">
        <v>312</v>
      </c>
      <c r="D31" s="6">
        <f>COUNTIF(B2:B23,2)</f>
        <v>5</v>
      </c>
    </row>
    <row r="32" spans="1:9" x14ac:dyDescent="0.35">
      <c r="A32" s="6" t="s">
        <v>313</v>
      </c>
      <c r="D32" s="6">
        <f>COUNTIF(B2:B23,3)</f>
        <v>4</v>
      </c>
    </row>
    <row r="33" spans="1:4" x14ac:dyDescent="0.35">
      <c r="A33" s="6" t="s">
        <v>314</v>
      </c>
      <c r="D33" s="6">
        <f>COUNTIF(B2:B23,4)</f>
        <v>3</v>
      </c>
    </row>
    <row r="34" spans="1:4" x14ac:dyDescent="0.35">
      <c r="A34" s="6" t="s">
        <v>315</v>
      </c>
      <c r="D34" s="6">
        <f>COUNTIF(B2:B23,5)</f>
        <v>5</v>
      </c>
    </row>
    <row r="35" spans="1:4" x14ac:dyDescent="0.35">
      <c r="A35" s="6" t="s">
        <v>316</v>
      </c>
      <c r="D35" s="6">
        <f>COUNTIF(B2:B23,6)</f>
        <v>2</v>
      </c>
    </row>
    <row r="36" spans="1:4" x14ac:dyDescent="0.35">
      <c r="A36" s="4" t="s">
        <v>317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Views>
    <sheetView workbookViewId="0">
      <pane ySplit="1" topLeftCell="A2" activePane="bottomLeft" state="frozen"/>
      <selection pane="bottomLeft"/>
    </sheetView>
  </sheetViews>
  <sheetFormatPr defaultRowHeight="14.5" x14ac:dyDescent="0.35"/>
  <cols>
    <col min="1" max="1" width="7" customWidth="1"/>
    <col min="2" max="2" width="22" customWidth="1"/>
    <col min="3" max="3" width="52" customWidth="1"/>
    <col min="4" max="4" width="62" customWidth="1"/>
  </cols>
  <sheetData>
    <row r="1" spans="1:4" x14ac:dyDescent="0.35">
      <c r="A1" s="1" t="s">
        <v>158</v>
      </c>
      <c r="B1" s="1" t="s">
        <v>24</v>
      </c>
      <c r="C1" s="1" t="s">
        <v>318</v>
      </c>
      <c r="D1" s="1" t="s">
        <v>319</v>
      </c>
    </row>
    <row r="2" spans="1:4" ht="25" x14ac:dyDescent="0.35">
      <c r="A2" s="2" t="s">
        <v>320</v>
      </c>
      <c r="B2" s="2" t="s">
        <v>321</v>
      </c>
      <c r="C2" s="2" t="s">
        <v>322</v>
      </c>
      <c r="D2" s="2" t="s">
        <v>323</v>
      </c>
    </row>
    <row r="3" spans="1:4" x14ac:dyDescent="0.35">
      <c r="A3" s="2" t="s">
        <v>324</v>
      </c>
      <c r="B3" s="2" t="s">
        <v>325</v>
      </c>
      <c r="C3" s="2" t="s">
        <v>326</v>
      </c>
      <c r="D3" s="2" t="s">
        <v>327</v>
      </c>
    </row>
    <row r="4" spans="1:4" x14ac:dyDescent="0.35">
      <c r="A4" s="2" t="s">
        <v>328</v>
      </c>
      <c r="B4" s="2" t="s">
        <v>329</v>
      </c>
      <c r="C4" s="2" t="s">
        <v>330</v>
      </c>
      <c r="D4" s="2" t="s">
        <v>331</v>
      </c>
    </row>
    <row r="5" spans="1:4" x14ac:dyDescent="0.35">
      <c r="A5" s="2" t="s">
        <v>332</v>
      </c>
      <c r="B5" s="2" t="s">
        <v>333</v>
      </c>
      <c r="C5" s="2" t="s">
        <v>334</v>
      </c>
      <c r="D5" s="2" t="s">
        <v>335</v>
      </c>
    </row>
    <row r="6" spans="1:4" ht="25" x14ac:dyDescent="0.35">
      <c r="A6" s="2" t="s">
        <v>336</v>
      </c>
      <c r="B6" s="2" t="s">
        <v>337</v>
      </c>
      <c r="C6" s="2" t="s">
        <v>338</v>
      </c>
      <c r="D6" s="2" t="s">
        <v>339</v>
      </c>
    </row>
    <row r="7" spans="1:4" ht="25" x14ac:dyDescent="0.35">
      <c r="A7" s="2" t="s">
        <v>340</v>
      </c>
      <c r="B7" s="2" t="s">
        <v>341</v>
      </c>
      <c r="C7" s="2" t="s">
        <v>342</v>
      </c>
      <c r="D7" s="2" t="s">
        <v>343</v>
      </c>
    </row>
    <row r="8" spans="1:4" ht="25" x14ac:dyDescent="0.35">
      <c r="A8" s="2" t="s">
        <v>344</v>
      </c>
      <c r="B8" s="2" t="s">
        <v>345</v>
      </c>
      <c r="C8" s="2" t="s">
        <v>346</v>
      </c>
      <c r="D8" s="2" t="s">
        <v>347</v>
      </c>
    </row>
    <row r="9" spans="1:4" x14ac:dyDescent="0.35">
      <c r="A9" s="2" t="s">
        <v>348</v>
      </c>
      <c r="B9" s="2" t="s">
        <v>349</v>
      </c>
      <c r="C9" s="2" t="str">
        <f>"Same level on "&amp;Thresholds!$C$24&amp;" consecutive prompts"</f>
        <v>Same level on 3 consecutive prompts</v>
      </c>
      <c r="D9" s="2" t="s">
        <v>350</v>
      </c>
    </row>
    <row r="10" spans="1:4" x14ac:dyDescent="0.35">
      <c r="A10" s="2" t="s">
        <v>351</v>
      </c>
      <c r="B10" s="2" t="s">
        <v>352</v>
      </c>
      <c r="C10" s="2" t="s">
        <v>353</v>
      </c>
      <c r="D10" s="2" t="s">
        <v>354</v>
      </c>
    </row>
    <row r="11" spans="1:4" x14ac:dyDescent="0.35">
      <c r="A11" s="2" t="s">
        <v>355</v>
      </c>
      <c r="B11" s="2" t="s">
        <v>356</v>
      </c>
      <c r="C11" s="2" t="s">
        <v>357</v>
      </c>
      <c r="D11" s="2" t="s">
        <v>358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pane ySplit="1" topLeftCell="A2" activePane="bottomLeft" state="frozen"/>
      <selection pane="bottomLeft"/>
    </sheetView>
  </sheetViews>
  <sheetFormatPr defaultRowHeight="14.5" x14ac:dyDescent="0.35"/>
  <cols>
    <col min="1" max="1" width="70" customWidth="1"/>
    <col min="2" max="2" width="40" customWidth="1"/>
  </cols>
  <sheetData>
    <row r="1" spans="1:2" x14ac:dyDescent="0.35">
      <c r="A1" s="1" t="s">
        <v>359</v>
      </c>
      <c r="B1" s="1" t="s">
        <v>191</v>
      </c>
    </row>
    <row r="2" spans="1:2" x14ac:dyDescent="0.35">
      <c r="A2" s="2" t="s">
        <v>360</v>
      </c>
      <c r="B2" s="2" t="s">
        <v>361</v>
      </c>
    </row>
    <row r="3" spans="1:2" x14ac:dyDescent="0.35">
      <c r="A3" s="2" t="s">
        <v>362</v>
      </c>
      <c r="B3" s="2" t="s">
        <v>363</v>
      </c>
    </row>
    <row r="4" spans="1:2" x14ac:dyDescent="0.35">
      <c r="A4" s="2" t="s">
        <v>364</v>
      </c>
      <c r="B4" s="2" t="s">
        <v>363</v>
      </c>
    </row>
    <row r="5" spans="1:2" x14ac:dyDescent="0.35">
      <c r="A5" s="2" t="s">
        <v>365</v>
      </c>
      <c r="B5" s="2" t="s">
        <v>363</v>
      </c>
    </row>
    <row r="6" spans="1:2" x14ac:dyDescent="0.35">
      <c r="A6" s="2" t="s">
        <v>180</v>
      </c>
      <c r="B6" s="2" t="s">
        <v>366</v>
      </c>
    </row>
    <row r="7" spans="1:2" x14ac:dyDescent="0.35">
      <c r="A7" s="2" t="s">
        <v>367</v>
      </c>
      <c r="B7" s="2" t="s">
        <v>366</v>
      </c>
    </row>
    <row r="8" spans="1:2" x14ac:dyDescent="0.35">
      <c r="A8" s="2" t="str">
        <f>"Concept identification confidence below "&amp;Thresholds!$C$26</f>
        <v>Concept identification confidence below 0.6</v>
      </c>
      <c r="B8" s="2" t="s">
        <v>363</v>
      </c>
    </row>
    <row r="9" spans="1:2" x14ac:dyDescent="0.35">
      <c r="A9" s="2" t="s">
        <v>368</v>
      </c>
      <c r="B9" s="2" t="s">
        <v>366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
  <sheetViews>
    <sheetView workbookViewId="0">
      <pane ySplit="1" topLeftCell="A2" activePane="bottomLeft" state="frozen"/>
      <selection pane="bottomLeft"/>
    </sheetView>
  </sheetViews>
  <sheetFormatPr defaultRowHeight="14.5" x14ac:dyDescent="0.35"/>
  <cols>
    <col min="1" max="1" width="16" customWidth="1"/>
    <col min="2" max="2" width="50" customWidth="1"/>
    <col min="3" max="3" width="9" customWidth="1"/>
    <col min="4" max="4" width="32" customWidth="1"/>
    <col min="5" max="5" width="52" customWidth="1"/>
  </cols>
  <sheetData>
    <row r="1" spans="1:5" x14ac:dyDescent="0.35">
      <c r="A1" s="1" t="s">
        <v>369</v>
      </c>
      <c r="B1" s="1" t="s">
        <v>370</v>
      </c>
      <c r="C1" s="1" t="s">
        <v>371</v>
      </c>
      <c r="D1" s="1" t="s">
        <v>102</v>
      </c>
      <c r="E1" s="1" t="s">
        <v>372</v>
      </c>
    </row>
    <row r="2" spans="1:5" x14ac:dyDescent="0.35">
      <c r="A2" s="2" t="s">
        <v>373</v>
      </c>
      <c r="B2" s="2" t="s">
        <v>374</v>
      </c>
      <c r="C2" s="7">
        <v>3</v>
      </c>
      <c r="D2" s="2" t="s">
        <v>375</v>
      </c>
      <c r="E2" s="2" t="s">
        <v>376</v>
      </c>
    </row>
    <row r="3" spans="1:5" x14ac:dyDescent="0.35">
      <c r="A3" s="2" t="s">
        <v>377</v>
      </c>
      <c r="B3" s="2" t="s">
        <v>378</v>
      </c>
      <c r="C3" s="7">
        <v>2</v>
      </c>
      <c r="D3" s="2" t="s">
        <v>379</v>
      </c>
      <c r="E3" s="2" t="s">
        <v>380</v>
      </c>
    </row>
    <row r="4" spans="1:5" ht="25" x14ac:dyDescent="0.35">
      <c r="A4" s="2" t="s">
        <v>381</v>
      </c>
      <c r="B4" s="2" t="s">
        <v>382</v>
      </c>
      <c r="C4" s="7">
        <v>1</v>
      </c>
      <c r="D4" s="2" t="s">
        <v>379</v>
      </c>
      <c r="E4" s="2" t="s">
        <v>383</v>
      </c>
    </row>
    <row r="5" spans="1:5" x14ac:dyDescent="0.35">
      <c r="A5" s="2" t="s">
        <v>384</v>
      </c>
      <c r="B5" s="2" t="s">
        <v>385</v>
      </c>
      <c r="C5" s="7">
        <v>4</v>
      </c>
      <c r="D5" s="2" t="s">
        <v>379</v>
      </c>
      <c r="E5" s="2" t="s">
        <v>386</v>
      </c>
    </row>
    <row r="6" spans="1:5" x14ac:dyDescent="0.35">
      <c r="A6" s="2" t="s">
        <v>387</v>
      </c>
      <c r="B6" s="2" t="s">
        <v>388</v>
      </c>
      <c r="C6" s="7">
        <v>0.4</v>
      </c>
      <c r="D6" s="2" t="s">
        <v>379</v>
      </c>
      <c r="E6" s="2" t="s">
        <v>386</v>
      </c>
    </row>
    <row r="7" spans="1:5" x14ac:dyDescent="0.35">
      <c r="A7" s="2" t="s">
        <v>389</v>
      </c>
      <c r="B7" s="2" t="s">
        <v>390</v>
      </c>
      <c r="C7" s="7">
        <v>3</v>
      </c>
      <c r="D7" s="2" t="s">
        <v>379</v>
      </c>
      <c r="E7" s="2" t="s">
        <v>386</v>
      </c>
    </row>
    <row r="8" spans="1:5" x14ac:dyDescent="0.35">
      <c r="A8" s="2" t="s">
        <v>391</v>
      </c>
      <c r="B8" s="2" t="s">
        <v>392</v>
      </c>
      <c r="C8" s="7">
        <v>0.5</v>
      </c>
      <c r="D8" s="2" t="s">
        <v>379</v>
      </c>
      <c r="E8" s="2" t="s">
        <v>386</v>
      </c>
    </row>
    <row r="9" spans="1:5" x14ac:dyDescent="0.35">
      <c r="A9" s="2" t="s">
        <v>393</v>
      </c>
      <c r="B9" s="2" t="s">
        <v>394</v>
      </c>
      <c r="C9" s="7">
        <v>1</v>
      </c>
      <c r="D9" s="2" t="s">
        <v>395</v>
      </c>
      <c r="E9" s="2" t="s">
        <v>396</v>
      </c>
    </row>
    <row r="10" spans="1:5" x14ac:dyDescent="0.35">
      <c r="A10" s="2" t="s">
        <v>397</v>
      </c>
      <c r="B10" s="2" t="s">
        <v>398</v>
      </c>
      <c r="C10" s="7">
        <v>0.5</v>
      </c>
      <c r="D10" s="2" t="s">
        <v>379</v>
      </c>
      <c r="E10" s="2" t="s">
        <v>386</v>
      </c>
    </row>
    <row r="11" spans="1:5" x14ac:dyDescent="0.35">
      <c r="A11" s="2" t="s">
        <v>399</v>
      </c>
      <c r="B11" s="2" t="s">
        <v>400</v>
      </c>
      <c r="C11" s="7">
        <v>3</v>
      </c>
      <c r="D11" s="2" t="s">
        <v>379</v>
      </c>
      <c r="E11" s="2" t="s">
        <v>386</v>
      </c>
    </row>
    <row r="12" spans="1:5" x14ac:dyDescent="0.35">
      <c r="A12" s="2" t="s">
        <v>401</v>
      </c>
      <c r="B12" s="2" t="s">
        <v>402</v>
      </c>
      <c r="C12" s="7">
        <v>0.5</v>
      </c>
      <c r="D12" s="2" t="s">
        <v>403</v>
      </c>
      <c r="E12" s="2" t="s">
        <v>404</v>
      </c>
    </row>
    <row r="13" spans="1:5" ht="25" x14ac:dyDescent="0.35">
      <c r="A13" s="2" t="s">
        <v>405</v>
      </c>
      <c r="B13" s="2" t="s">
        <v>406</v>
      </c>
      <c r="C13" s="7">
        <v>0.85</v>
      </c>
      <c r="D13" s="2" t="s">
        <v>407</v>
      </c>
      <c r="E13" s="2" t="s">
        <v>408</v>
      </c>
    </row>
    <row r="14" spans="1:5" x14ac:dyDescent="0.35">
      <c r="A14" s="2" t="s">
        <v>409</v>
      </c>
      <c r="B14" s="2" t="s">
        <v>410</v>
      </c>
      <c r="C14" s="7">
        <v>0.5</v>
      </c>
      <c r="D14" s="2" t="s">
        <v>411</v>
      </c>
      <c r="E14" s="2" t="s">
        <v>386</v>
      </c>
    </row>
    <row r="15" spans="1:5" x14ac:dyDescent="0.35">
      <c r="A15" s="2" t="s">
        <v>412</v>
      </c>
      <c r="B15" s="2" t="s">
        <v>413</v>
      </c>
      <c r="C15" s="7">
        <v>0.6</v>
      </c>
      <c r="D15" s="2" t="s">
        <v>411</v>
      </c>
      <c r="E15" s="2" t="s">
        <v>386</v>
      </c>
    </row>
    <row r="16" spans="1:5" x14ac:dyDescent="0.35">
      <c r="A16" s="2" t="s">
        <v>414</v>
      </c>
      <c r="B16" s="2" t="s">
        <v>415</v>
      </c>
      <c r="C16" s="7">
        <v>0.3</v>
      </c>
      <c r="D16" s="2" t="s">
        <v>411</v>
      </c>
      <c r="E16" s="2" t="s">
        <v>386</v>
      </c>
    </row>
    <row r="17" spans="1:5" x14ac:dyDescent="0.35">
      <c r="A17" s="2" t="s">
        <v>416</v>
      </c>
      <c r="B17" s="2" t="s">
        <v>417</v>
      </c>
      <c r="C17" s="7">
        <v>0.45</v>
      </c>
      <c r="D17" s="2" t="s">
        <v>418</v>
      </c>
      <c r="E17" s="2" t="s">
        <v>419</v>
      </c>
    </row>
    <row r="18" spans="1:5" ht="25" x14ac:dyDescent="0.35">
      <c r="A18" s="2" t="s">
        <v>420</v>
      </c>
      <c r="B18" s="2" t="s">
        <v>421</v>
      </c>
      <c r="C18" s="7">
        <v>0.6</v>
      </c>
      <c r="D18" s="2" t="s">
        <v>422</v>
      </c>
      <c r="E18" s="2" t="s">
        <v>386</v>
      </c>
    </row>
    <row r="19" spans="1:5" x14ac:dyDescent="0.35">
      <c r="A19" s="2" t="s">
        <v>423</v>
      </c>
      <c r="B19" s="2" t="s">
        <v>424</v>
      </c>
      <c r="C19" s="7">
        <v>0.5</v>
      </c>
      <c r="D19" s="2" t="s">
        <v>425</v>
      </c>
      <c r="E19" s="2" t="s">
        <v>386</v>
      </c>
    </row>
    <row r="20" spans="1:5" ht="25" x14ac:dyDescent="0.35">
      <c r="A20" s="2" t="s">
        <v>426</v>
      </c>
      <c r="B20" s="2" t="s">
        <v>427</v>
      </c>
      <c r="C20" s="7">
        <v>0.62</v>
      </c>
      <c r="D20" s="2" t="s">
        <v>425</v>
      </c>
      <c r="E20" s="2" t="s">
        <v>428</v>
      </c>
    </row>
    <row r="21" spans="1:5" x14ac:dyDescent="0.35">
      <c r="A21" s="2" t="s">
        <v>429</v>
      </c>
      <c r="B21" s="2" t="s">
        <v>430</v>
      </c>
      <c r="C21" s="7">
        <v>0.75</v>
      </c>
      <c r="D21" s="2" t="s">
        <v>425</v>
      </c>
      <c r="E21" s="2" t="s">
        <v>431</v>
      </c>
    </row>
    <row r="22" spans="1:5" x14ac:dyDescent="0.35">
      <c r="A22" s="2" t="s">
        <v>432</v>
      </c>
      <c r="B22" s="2" t="s">
        <v>433</v>
      </c>
      <c r="C22" s="7">
        <v>0.5</v>
      </c>
      <c r="D22" s="2" t="s">
        <v>425</v>
      </c>
      <c r="E22" s="2" t="s">
        <v>434</v>
      </c>
    </row>
    <row r="23" spans="1:5" x14ac:dyDescent="0.35">
      <c r="A23" s="2" t="s">
        <v>281</v>
      </c>
      <c r="B23" s="2" t="s">
        <v>435</v>
      </c>
      <c r="C23" s="7">
        <v>2</v>
      </c>
      <c r="D23" s="2" t="s">
        <v>436</v>
      </c>
      <c r="E23" s="2" t="s">
        <v>437</v>
      </c>
    </row>
    <row r="24" spans="1:5" x14ac:dyDescent="0.35">
      <c r="A24" s="2" t="s">
        <v>438</v>
      </c>
      <c r="B24" s="2" t="s">
        <v>439</v>
      </c>
      <c r="C24" s="7">
        <v>3</v>
      </c>
      <c r="D24" s="2" t="s">
        <v>440</v>
      </c>
      <c r="E24" s="2" t="s">
        <v>386</v>
      </c>
    </row>
    <row r="25" spans="1:5" x14ac:dyDescent="0.35">
      <c r="A25" s="2" t="s">
        <v>295</v>
      </c>
      <c r="B25" s="2" t="s">
        <v>441</v>
      </c>
      <c r="C25" s="7">
        <v>3</v>
      </c>
      <c r="D25" s="2" t="s">
        <v>442</v>
      </c>
      <c r="E25" s="2" t="s">
        <v>443</v>
      </c>
    </row>
    <row r="26" spans="1:5" x14ac:dyDescent="0.35">
      <c r="A26" s="2" t="s">
        <v>444</v>
      </c>
      <c r="B26" s="2" t="s">
        <v>445</v>
      </c>
      <c r="C26" s="7">
        <v>0.6</v>
      </c>
      <c r="D26" s="2" t="s">
        <v>446</v>
      </c>
      <c r="E26" s="2" t="s">
        <v>386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Overview</vt:lpstr>
      <vt:lpstr>Algorithm</vt:lpstr>
      <vt:lpstr>Graph Edges</vt:lpstr>
      <vt:lpstr>Ladder</vt:lpstr>
      <vt:lpstr>Evidence</vt:lpstr>
      <vt:lpstr>Gates</vt:lpstr>
      <vt:lpstr>Inference Rules</vt:lpstr>
      <vt:lpstr>Confidence</vt:lpstr>
      <vt:lpstr>Thresholds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pradhyumn nair</cp:lastModifiedBy>
  <dcterms:created xsi:type="dcterms:W3CDTF">2026-10-02T06:25:28Z</dcterms:created>
  <dcterms:modified xsi:type="dcterms:W3CDTF">2026-10-02T06:25:31Z</dcterms:modified>
</cp:coreProperties>
</file>